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ân Long - Độc Quyền" sheetId="1" r:id="rId5"/>
    <sheet state="visible" name="Chéo" sheetId="2" r:id="rId6"/>
    <sheet state="hidden" name="Bản sao của Chéo" sheetId="3" r:id="rId7"/>
  </sheets>
  <definedNames>
    <definedName hidden="1" localSheetId="1" name="_xlnm._FilterDatabase">'Chéo'!$A$3:$T$356</definedName>
  </definedNames>
  <calcPr/>
</workbook>
</file>

<file path=xl/sharedStrings.xml><?xml version="1.0" encoding="utf-8"?>
<sst xmlns="http://schemas.openxmlformats.org/spreadsheetml/2006/main" count="5390" uniqueCount="1029">
  <si>
    <t>BẢNG HÀNG SUN NHA TRANG CHARMORA CITY</t>
  </si>
  <si>
    <t>ĐÃ BÁN</t>
  </si>
  <si>
    <t>CĂN MỚI</t>
  </si>
  <si>
    <t>Ngày cập nhật</t>
  </si>
  <si>
    <t>LOCK</t>
  </si>
  <si>
    <t>STT</t>
  </si>
  <si>
    <t>ĐẠI LÝ</t>
  </si>
  <si>
    <t>Lock</t>
  </si>
  <si>
    <t>TÒA</t>
  </si>
  <si>
    <t>TẦNG</t>
  </si>
  <si>
    <t>Đã bán</t>
  </si>
  <si>
    <t>CĂN</t>
  </si>
  <si>
    <t xml:space="preserve"> MÃ CĂN</t>
  </si>
  <si>
    <t>Khóa</t>
  </si>
  <si>
    <t>LOẠI CĂN</t>
  </si>
  <si>
    <t>Check admin</t>
  </si>
  <si>
    <t>DT TIM TƯỜNG (m2)</t>
  </si>
  <si>
    <t>DT THÔNG THỦY (m2)</t>
  </si>
  <si>
    <t>Tổng Giá bán đã bao gồm VAT &amp; KPBT</t>
  </si>
  <si>
    <t>Ngày ký HĐTHNV</t>
  </si>
  <si>
    <t>PTG + chỉ căn</t>
  </si>
  <si>
    <t>Five star</t>
  </si>
  <si>
    <t>O1</t>
  </si>
  <si>
    <t>O11521</t>
  </si>
  <si>
    <t>2BR</t>
  </si>
  <si>
    <t>Giá có vay sau EB</t>
  </si>
  <si>
    <t>TOÀ ONSEN 1</t>
  </si>
  <si>
    <t>Giá không vay sau EB</t>
  </si>
  <si>
    <t>Giá TTS 95% (sau EB)</t>
  </si>
  <si>
    <t>Giá TTS 70% trước 25/12/2025 (sau EB)</t>
  </si>
  <si>
    <t>Giá TTS 50% trước 25/12/2025 (sau EB)</t>
  </si>
  <si>
    <t>CSBH</t>
  </si>
  <si>
    <t>Giỏ</t>
  </si>
  <si>
    <t>C</t>
  </si>
  <si>
    <t>View</t>
  </si>
  <si>
    <t>12A</t>
  </si>
  <si>
    <t>Tòa</t>
  </si>
  <si>
    <t>Tầng</t>
  </si>
  <si>
    <t>Căn</t>
  </si>
  <si>
    <t>Mã căn</t>
  </si>
  <si>
    <t>CH/PH/SH</t>
  </si>
  <si>
    <t>Loại căn</t>
  </si>
  <si>
    <t>Tổng DT thông thủy</t>
  </si>
  <si>
    <t>DT tim tường</t>
  </si>
  <si>
    <t>C12A39</t>
  </si>
  <si>
    <t>Chiết khấu</t>
  </si>
  <si>
    <t>PTG</t>
  </si>
  <si>
    <t>Giỏ bank</t>
  </si>
  <si>
    <t>Ghi chú</t>
  </si>
  <si>
    <t>Quỹ</t>
  </si>
  <si>
    <t>-</t>
  </si>
  <si>
    <t>O3</t>
  </si>
  <si>
    <t>O32222</t>
  </si>
  <si>
    <t>1BR+</t>
  </si>
  <si>
    <t>EB 3% + Người NT 1%</t>
  </si>
  <si>
    <t>Quà tặng đặc quyền</t>
  </si>
  <si>
    <t>TTS 95%</t>
  </si>
  <si>
    <t>Vhomes</t>
  </si>
  <si>
    <t>BLUE</t>
  </si>
  <si>
    <t>O303A05</t>
  </si>
  <si>
    <t>1PN+</t>
  </si>
  <si>
    <t>53.8</t>
  </si>
  <si>
    <t>ONSEN I</t>
  </si>
  <si>
    <t>05</t>
  </si>
  <si>
    <t>01</t>
  </si>
  <si>
    <t>O10501</t>
  </si>
  <si>
    <t>CH</t>
  </si>
  <si>
    <t>O303A30</t>
  </si>
  <si>
    <t>2PN</t>
  </si>
  <si>
    <t>76.0</t>
  </si>
  <si>
    <t>Không</t>
  </si>
  <si>
    <t>O30728</t>
  </si>
  <si>
    <t>80.7</t>
  </si>
  <si>
    <t>VTB</t>
  </si>
  <si>
    <t>O31101</t>
  </si>
  <si>
    <t>THU HỒI</t>
  </si>
  <si>
    <t>53.9</t>
  </si>
  <si>
    <t>Biệt thự ven sông</t>
  </si>
  <si>
    <t>O31223</t>
  </si>
  <si>
    <t>54.4</t>
  </si>
  <si>
    <t>06</t>
  </si>
  <si>
    <t>O10506</t>
  </si>
  <si>
    <t>O312A05</t>
  </si>
  <si>
    <t>SKR</t>
  </si>
  <si>
    <t>O31607</t>
  </si>
  <si>
    <t>Gió an cư (nội khu)</t>
  </si>
  <si>
    <t>66.5</t>
  </si>
  <si>
    <t>O10517</t>
  </si>
  <si>
    <t xml:space="preserve">GIÁ CHƯA VAT&amp;KPBT </t>
  </si>
  <si>
    <t>STU</t>
  </si>
  <si>
    <t>TÌNH TRẠNG</t>
  </si>
  <si>
    <t>CSBH được áp dụng</t>
  </si>
  <si>
    <t>CHỈ CĂN</t>
  </si>
  <si>
    <t>NGÀY KÝ VBTT</t>
  </si>
  <si>
    <t>GIỎ BANK</t>
  </si>
  <si>
    <t>NCB</t>
  </si>
  <si>
    <t>Vũ Thanh Huyền</t>
  </si>
  <si>
    <t>Sơn thuỷ pháo hoa</t>
  </si>
  <si>
    <t>O31629</t>
  </si>
  <si>
    <t>55.0</t>
  </si>
  <si>
    <t>O10522</t>
  </si>
  <si>
    <t>ĐQ</t>
  </si>
  <si>
    <t>O31801</t>
  </si>
  <si>
    <t>O303A05.jpg</t>
  </si>
  <si>
    <t>NÂU</t>
  </si>
  <si>
    <t>O31907</t>
  </si>
  <si>
    <t>O11620</t>
  </si>
  <si>
    <t>O303A30.jpg</t>
  </si>
  <si>
    <t>VCB</t>
  </si>
  <si>
    <t>O31923</t>
  </si>
  <si>
    <t>O11625</t>
  </si>
  <si>
    <t>O30728.jpg</t>
  </si>
  <si>
    <t>O32002</t>
  </si>
  <si>
    <t>C Ái Duyên</t>
  </si>
  <si>
    <t>O32028</t>
  </si>
  <si>
    <t>O31101.jpg</t>
  </si>
  <si>
    <t>6.032.186.2</t>
  </si>
  <si>
    <t>Pháo hoa độc bản</t>
  </si>
  <si>
    <t>O32127</t>
  </si>
  <si>
    <t>O11631</t>
  </si>
  <si>
    <t>50.4</t>
  </si>
  <si>
    <t>O31223.jpg</t>
  </si>
  <si>
    <t>O32201</t>
  </si>
  <si>
    <t>F2 Tâm Phạm</t>
  </si>
  <si>
    <t>TÍM</t>
  </si>
  <si>
    <t>O312A05.jpg</t>
  </si>
  <si>
    <t>08</t>
  </si>
  <si>
    <t>O12308</t>
  </si>
  <si>
    <t>O32218</t>
  </si>
  <si>
    <t>53.7</t>
  </si>
  <si>
    <t>Anh Thinh</t>
  </si>
  <si>
    <t>O31607.jpg</t>
  </si>
  <si>
    <t>O32224</t>
  </si>
  <si>
    <t>72.7</t>
  </si>
  <si>
    <t>O12316</t>
  </si>
  <si>
    <t>O30830</t>
  </si>
  <si>
    <t>O31629.jpg</t>
  </si>
  <si>
    <t>O31727</t>
  </si>
  <si>
    <t>Hà Thanh Homes</t>
  </si>
  <si>
    <t>O31801.jpg</t>
  </si>
  <si>
    <t>O12318</t>
  </si>
  <si>
    <t>O32124</t>
  </si>
  <si>
    <t>O31907.jpg</t>
  </si>
  <si>
    <t>O12126</t>
  </si>
  <si>
    <t>Xoan</t>
  </si>
  <si>
    <t>54.5</t>
  </si>
  <si>
    <t>O11915</t>
  </si>
  <si>
    <t>O31923.jpg</t>
  </si>
  <si>
    <t>O12312A</t>
  </si>
  <si>
    <t>59.5</t>
  </si>
  <si>
    <t xml:space="preserve">Huỳnh Thị Mỹ Duyên </t>
  </si>
  <si>
    <t>O2</t>
  </si>
  <si>
    <t>O32002.jpg</t>
  </si>
  <si>
    <t>O20607</t>
  </si>
  <si>
    <t>02</t>
  </si>
  <si>
    <t>31.2</t>
  </si>
  <si>
    <t>O10502</t>
  </si>
  <si>
    <t>54.0</t>
  </si>
  <si>
    <t>59.1</t>
  </si>
  <si>
    <t>O20730</t>
  </si>
  <si>
    <t>O32028.jpg</t>
  </si>
  <si>
    <t>58.5</t>
  </si>
  <si>
    <t>3.6.903.956</t>
  </si>
  <si>
    <t>O212A32</t>
  </si>
  <si>
    <t>56.7</t>
  </si>
  <si>
    <t>O32127.jpg</t>
  </si>
  <si>
    <t>O212B07</t>
  </si>
  <si>
    <t>ĐỘC QUYỀN</t>
  </si>
  <si>
    <t>O21532</t>
  </si>
  <si>
    <t>O32201.jpg</t>
  </si>
  <si>
    <t>29</t>
  </si>
  <si>
    <t>O10529</t>
  </si>
  <si>
    <t>O21812A</t>
  </si>
  <si>
    <t>O32218.jpg</t>
  </si>
  <si>
    <t>O21830</t>
  </si>
  <si>
    <t>O32224.jpg</t>
  </si>
  <si>
    <t>O21912A</t>
  </si>
  <si>
    <t>31</t>
  </si>
  <si>
    <t>O10531</t>
  </si>
  <si>
    <t>140tr/căn</t>
  </si>
  <si>
    <t>50.0</t>
  </si>
  <si>
    <t>54.2</t>
  </si>
  <si>
    <t>O21935</t>
  </si>
  <si>
    <t>37.4</t>
  </si>
  <si>
    <t>100tr/căn</t>
  </si>
  <si>
    <t>O22011</t>
  </si>
  <si>
    <t>50.9</t>
  </si>
  <si>
    <t>25</t>
  </si>
  <si>
    <t>O10825</t>
  </si>
  <si>
    <t>O22211</t>
  </si>
  <si>
    <t>58.0</t>
  </si>
  <si>
    <t>62.6</t>
  </si>
  <si>
    <t>O22316</t>
  </si>
  <si>
    <t>O22411</t>
  </si>
  <si>
    <t>O12302</t>
  </si>
  <si>
    <t>Có</t>
  </si>
  <si>
    <t>O20803A</t>
  </si>
  <si>
    <t>54.3</t>
  </si>
  <si>
    <t>O20607.jpg</t>
  </si>
  <si>
    <t>Thanh lý</t>
  </si>
  <si>
    <t xml:space="preserve">Vũ Thanh Huyền     </t>
  </si>
  <si>
    <t>O20909</t>
  </si>
  <si>
    <t>75.3</t>
  </si>
  <si>
    <t>O20730.png</t>
  </si>
  <si>
    <t>O10526</t>
  </si>
  <si>
    <t>O21201</t>
  </si>
  <si>
    <t>O212A26</t>
  </si>
  <si>
    <t>O21202</t>
  </si>
  <si>
    <t>O212A26.png</t>
  </si>
  <si>
    <t>58.1</t>
  </si>
  <si>
    <t>O21717</t>
  </si>
  <si>
    <t>TOÀ ONSEN 2</t>
  </si>
  <si>
    <t>O212A32.png</t>
  </si>
  <si>
    <t>O21734</t>
  </si>
  <si>
    <t>O212B07.png</t>
  </si>
  <si>
    <t>O22131</t>
  </si>
  <si>
    <t>72.6</t>
  </si>
  <si>
    <t>O21532.jpg</t>
  </si>
  <si>
    <t>O22303A</t>
  </si>
  <si>
    <t>Giá TTS 95% trước 25/02/2026 sau EB</t>
  </si>
  <si>
    <t>O22305</t>
  </si>
  <si>
    <t>O21812A.png</t>
  </si>
  <si>
    <t>54.1</t>
  </si>
  <si>
    <t>O22308</t>
  </si>
  <si>
    <t>O21830.png</t>
  </si>
  <si>
    <t>O22416</t>
  </si>
  <si>
    <t>O21912A.png</t>
  </si>
  <si>
    <t>O22417</t>
  </si>
  <si>
    <t>03A</t>
  </si>
  <si>
    <t>O21935.png</t>
  </si>
  <si>
    <t>O203A02</t>
  </si>
  <si>
    <t>C0741</t>
  </si>
  <si>
    <t>4,841,666,324</t>
  </si>
  <si>
    <t xml:space="preserve">Có </t>
  </si>
  <si>
    <t>O22011.png</t>
  </si>
  <si>
    <t>C2322</t>
  </si>
  <si>
    <t>3,850,287,328</t>
  </si>
  <si>
    <t>O22211.jpg</t>
  </si>
  <si>
    <t>C2307</t>
  </si>
  <si>
    <t>3,224,045,001</t>
  </si>
  <si>
    <t>3A</t>
  </si>
  <si>
    <t>43A</t>
  </si>
  <si>
    <t>O203A09</t>
  </si>
  <si>
    <t>O22316.png</t>
  </si>
  <si>
    <t>C03A43A</t>
  </si>
  <si>
    <t>3,028,226,251</t>
  </si>
  <si>
    <t>O22411.png</t>
  </si>
  <si>
    <t>C0509</t>
  </si>
  <si>
    <t>4,268,652,279</t>
  </si>
  <si>
    <t>O203A18</t>
  </si>
  <si>
    <t>C0541</t>
  </si>
  <si>
    <t>4,828,806,728</t>
  </si>
  <si>
    <t>C0631</t>
  </si>
  <si>
    <t>5,514,144,284</t>
  </si>
  <si>
    <t>16:24 DONTB</t>
  </si>
  <si>
    <t>C0833</t>
  </si>
  <si>
    <t>O203A20</t>
  </si>
  <si>
    <t>5,567,536,662</t>
  </si>
  <si>
    <t>C0835</t>
  </si>
  <si>
    <t>C0842</t>
  </si>
  <si>
    <t>5,271,879,132</t>
  </si>
  <si>
    <t>O20507</t>
  </si>
  <si>
    <t>C0845</t>
  </si>
  <si>
    <t>7,514,765,590</t>
  </si>
  <si>
    <t>C0943A</t>
  </si>
  <si>
    <t>3,211,102,236</t>
  </si>
  <si>
    <t>C1243A</t>
  </si>
  <si>
    <t>O20510</t>
  </si>
  <si>
    <t>3,283,252,163</t>
  </si>
  <si>
    <t>12B</t>
  </si>
  <si>
    <t>C12B38</t>
  </si>
  <si>
    <t>5,609,008,070</t>
  </si>
  <si>
    <t>VNL</t>
  </si>
  <si>
    <t>C1737</t>
  </si>
  <si>
    <t>ONSEN 2</t>
  </si>
  <si>
    <t>07</t>
  </si>
  <si>
    <t>5,989,943,904</t>
  </si>
  <si>
    <t>O20705</t>
  </si>
  <si>
    <t>C1803</t>
  </si>
  <si>
    <t>4,798,983,477</t>
  </si>
  <si>
    <t>C2209</t>
  </si>
  <si>
    <t>60tr/căn</t>
  </si>
  <si>
    <t>4,828,300,668</t>
  </si>
  <si>
    <t>27</t>
  </si>
  <si>
    <t>O212A27</t>
  </si>
  <si>
    <t>NAM AN</t>
  </si>
  <si>
    <t>O303A15</t>
  </si>
  <si>
    <t>57.3</t>
  </si>
  <si>
    <t>52.2</t>
  </si>
  <si>
    <t>3,155,377,816</t>
  </si>
  <si>
    <t>30</t>
  </si>
  <si>
    <t>O212A30</t>
  </si>
  <si>
    <t xml:space="preserve">O303A15	</t>
  </si>
  <si>
    <t>O303A29</t>
  </si>
  <si>
    <t>4,081,580,940</t>
  </si>
  <si>
    <t xml:space="preserve">O303A29	</t>
  </si>
  <si>
    <t>20</t>
  </si>
  <si>
    <t>O22001</t>
  </si>
  <si>
    <t>O303A32</t>
  </si>
  <si>
    <t>38.7</t>
  </si>
  <si>
    <t>33.9</t>
  </si>
  <si>
    <t>2,845,249,171</t>
  </si>
  <si>
    <t xml:space="preserve">O303A32	</t>
  </si>
  <si>
    <t>O303A03A</t>
  </si>
  <si>
    <t>O22002</t>
  </si>
  <si>
    <t>72.0</t>
  </si>
  <si>
    <t>5,499,134,444</t>
  </si>
  <si>
    <t xml:space="preserve">O303A03A	</t>
  </si>
  <si>
    <t>O30512A</t>
  </si>
  <si>
    <t>3,129,480,553</t>
  </si>
  <si>
    <t xml:space="preserve">O30512A	</t>
  </si>
  <si>
    <t>03</t>
  </si>
  <si>
    <t>O22003</t>
  </si>
  <si>
    <t>O30606</t>
  </si>
  <si>
    <t>34</t>
  </si>
  <si>
    <t>O22034</t>
  </si>
  <si>
    <t>81.2</t>
  </si>
  <si>
    <t>O30730</t>
  </si>
  <si>
    <t>85.3</t>
  </si>
  <si>
    <t>7,203,291,846</t>
  </si>
  <si>
    <t>O30921</t>
  </si>
  <si>
    <t>22</t>
  </si>
  <si>
    <t>32</t>
  </si>
  <si>
    <t>O22232</t>
  </si>
  <si>
    <t>4,444,324,954</t>
  </si>
  <si>
    <t xml:space="preserve">O30921 </t>
  </si>
  <si>
    <t>O30917</t>
  </si>
  <si>
    <t>80.1</t>
  </si>
  <si>
    <t>70.5</t>
  </si>
  <si>
    <t>5,792,633,883</t>
  </si>
  <si>
    <t>24</t>
  </si>
  <si>
    <t>35</t>
  </si>
  <si>
    <t xml:space="preserve">O30917	</t>
  </si>
  <si>
    <t>O22435</t>
  </si>
  <si>
    <t>O30928</t>
  </si>
  <si>
    <t>88.6</t>
  </si>
  <si>
    <t>5,573,895,276</t>
  </si>
  <si>
    <t xml:space="preserve">O30928 </t>
  </si>
  <si>
    <t>O32202</t>
  </si>
  <si>
    <t>59.2</t>
  </si>
  <si>
    <t>5,129,289,983</t>
  </si>
  <si>
    <t>O32306</t>
  </si>
  <si>
    <t>74.6</t>
  </si>
  <si>
    <t>66.7</t>
  </si>
  <si>
    <t>6,783,779,001</t>
  </si>
  <si>
    <t>O32115</t>
  </si>
  <si>
    <t xml:space="preserve">O32115 </t>
  </si>
  <si>
    <t>C0503</t>
  </si>
  <si>
    <t>4,276,557,190</t>
  </si>
  <si>
    <t xml:space="preserve">C0503	</t>
  </si>
  <si>
    <t>C0506</t>
  </si>
  <si>
    <t>4,244,937,543</t>
  </si>
  <si>
    <t xml:space="preserve">C0506	</t>
  </si>
  <si>
    <t>33.3</t>
  </si>
  <si>
    <t>C0839</t>
  </si>
  <si>
    <t>66.3</t>
  </si>
  <si>
    <t>7,637,325,113</t>
  </si>
  <si>
    <t xml:space="preserve">C0839	</t>
  </si>
  <si>
    <t>33</t>
  </si>
  <si>
    <t>O22233</t>
  </si>
  <si>
    <t>59.4</t>
  </si>
  <si>
    <r>
      <rPr>
        <rFont val="Times New Roman"/>
        <color theme="1"/>
        <sz val="11.0"/>
      </rPr>
      <t>C0732</t>
    </r>
  </si>
  <si>
    <t>38.9</t>
  </si>
  <si>
    <t>34.9</t>
  </si>
  <si>
    <t>3,557,207,125</t>
  </si>
  <si>
    <r>
      <rPr>
        <rFont val="Times New Roman"/>
        <sz val="11.0"/>
        <u/>
      </rPr>
      <t>C0732</t>
    </r>
  </si>
  <si>
    <r>
      <rPr>
        <rFont val="Times New Roman"/>
        <color theme="1"/>
        <sz val="11.0"/>
      </rPr>
      <t>C0741</t>
    </r>
  </si>
  <si>
    <r>
      <rPr>
        <rFont val="Times New Roman"/>
        <sz val="11.0"/>
        <u/>
      </rPr>
      <t>C0741</t>
    </r>
  </si>
  <si>
    <t>O22407</t>
  </si>
  <si>
    <t>34.7</t>
  </si>
  <si>
    <r>
      <rPr>
        <rFont val="Times New Roman"/>
        <color theme="1"/>
        <sz val="11.0"/>
      </rPr>
      <t>C0837</t>
    </r>
  </si>
  <si>
    <t>5,538,454,509</t>
  </si>
  <si>
    <r>
      <rPr>
        <rFont val="Times New Roman"/>
        <sz val="11.0"/>
        <u/>
      </rPr>
      <t>C0837</t>
    </r>
  </si>
  <si>
    <r>
      <rPr>
        <rFont val="Times New Roman"/>
        <color theme="1"/>
        <sz val="11.0"/>
      </rPr>
      <t>C1532</t>
    </r>
  </si>
  <si>
    <t>3,773,587,325</t>
  </si>
  <si>
    <r>
      <rPr>
        <rFont val="Times New Roman"/>
        <sz val="11.0"/>
        <u/>
      </rPr>
      <t>C1532</t>
    </r>
  </si>
  <si>
    <t>O22408</t>
  </si>
  <si>
    <r>
      <rPr>
        <rFont val="Times New Roman"/>
        <color theme="1"/>
        <sz val="11.0"/>
      </rPr>
      <t>C1541</t>
    </r>
  </si>
  <si>
    <r>
      <rPr>
        <rFont val="Times New Roman"/>
        <b/>
        <color rgb="FF1155CC"/>
        <sz val="12.0"/>
        <u/>
      </rPr>
      <t>C0732</t>
    </r>
  </si>
  <si>
    <t>5,136,063,540</t>
  </si>
  <si>
    <r>
      <rPr>
        <rFont val="Times New Roman"/>
        <sz val="11.0"/>
        <u/>
      </rPr>
      <t>C1541</t>
    </r>
  </si>
  <si>
    <r>
      <rPr>
        <rFont val="Times New Roman"/>
        <color theme="1"/>
        <sz val="11.0"/>
      </rPr>
      <t>C2311</t>
    </r>
  </si>
  <si>
    <t>71.0</t>
  </si>
  <si>
    <t>7,371,499,394</t>
  </si>
  <si>
    <r>
      <rPr>
        <rFont val="Times New Roman"/>
        <sz val="11.0"/>
        <u/>
      </rPr>
      <t>C2311</t>
    </r>
  </si>
  <si>
    <t>C0732</t>
  </si>
  <si>
    <t>O20527</t>
  </si>
  <si>
    <r>
      <rPr>
        <rFont val="Times New Roman"/>
        <b/>
        <color rgb="FF1155CC"/>
        <sz val="12.0"/>
        <u/>
      </rPr>
      <t>C0741</t>
    </r>
  </si>
  <si>
    <t>Có EB 3%</t>
  </si>
  <si>
    <r>
      <rPr>
        <rFont val="Times New Roman"/>
        <color theme="1"/>
        <sz val="11.0"/>
      </rPr>
      <t>C2306</t>
    </r>
  </si>
  <si>
    <t>5,011,001,341</t>
  </si>
  <si>
    <r>
      <rPr>
        <rFont val="Times New Roman"/>
        <sz val="11.0"/>
        <u/>
      </rPr>
      <t>C2306</t>
    </r>
  </si>
  <si>
    <t>Ký CN HDTHNV</t>
  </si>
  <si>
    <r>
      <rPr>
        <rFont val="Times New Roman"/>
        <b/>
        <color rgb="FF1155CC"/>
        <sz val="12.0"/>
        <u/>
      </rPr>
      <t>C0837</t>
    </r>
  </si>
  <si>
    <t>O21612B</t>
  </si>
  <si>
    <t>3BR+</t>
  </si>
  <si>
    <t>90.5</t>
  </si>
  <si>
    <t>C12B37</t>
  </si>
  <si>
    <t xml:space="preserve">C12B37	</t>
  </si>
  <si>
    <t>C0837</t>
  </si>
  <si>
    <r>
      <rPr>
        <rFont val="Times New Roman"/>
        <b/>
        <color rgb="FF1155CC"/>
        <sz val="12.0"/>
        <u/>
      </rPr>
      <t>C1532</t>
    </r>
  </si>
  <si>
    <t>O21712B</t>
  </si>
  <si>
    <t>C2201</t>
  </si>
  <si>
    <t>71.1</t>
  </si>
  <si>
    <t>7,243,240,817</t>
  </si>
  <si>
    <t xml:space="preserve">C2201	</t>
  </si>
  <si>
    <t>C1532</t>
  </si>
  <si>
    <r>
      <rPr>
        <rFont val="Times New Roman"/>
        <b/>
        <color rgb="FF1155CC"/>
        <sz val="12.0"/>
        <u/>
      </rPr>
      <t>C1541</t>
    </r>
  </si>
  <si>
    <r>
      <rPr>
        <rFont val="Times New Roman"/>
        <color theme="1"/>
        <sz val="11.0"/>
      </rPr>
      <t>O11202</t>
    </r>
  </si>
  <si>
    <t xml:space="preserve"> 5,655,845,0 </t>
  </si>
  <si>
    <r>
      <rPr>
        <rFont val="Times New Roman"/>
        <sz val="11.0"/>
        <u/>
      </rPr>
      <t>O11202</t>
    </r>
  </si>
  <si>
    <t>C1541</t>
  </si>
  <si>
    <t>O21828</t>
  </si>
  <si>
    <t>84.1</t>
  </si>
  <si>
    <r>
      <rPr>
        <rFont val="Times New Roman"/>
        <b/>
        <color rgb="FF1155CC"/>
        <sz val="12.0"/>
        <u/>
      </rPr>
      <t>C2311</t>
    </r>
  </si>
  <si>
    <r>
      <rPr>
        <rFont val="Times New Roman"/>
        <color theme="1"/>
        <sz val="11.0"/>
      </rPr>
      <t>O12429</t>
    </r>
  </si>
  <si>
    <t>6,141,587,113</t>
  </si>
  <si>
    <r>
      <rPr>
        <rFont val="Times New Roman"/>
        <sz val="11.0"/>
        <u/>
      </rPr>
      <t>O12429</t>
    </r>
  </si>
  <si>
    <t>Đông Nam</t>
  </si>
  <si>
    <t>ONSEN2</t>
  </si>
  <si>
    <t>C2311</t>
  </si>
  <si>
    <t>O20529</t>
  </si>
  <si>
    <t>3BR</t>
  </si>
  <si>
    <r>
      <rPr>
        <rFont val="Times New Roman"/>
        <color theme="1"/>
        <sz val="11.0"/>
      </rPr>
      <t>O10724</t>
    </r>
  </si>
  <si>
    <r>
      <rPr>
        <rFont val="Times New Roman"/>
        <b/>
        <color rgb="FF1155CC"/>
        <sz val="12.0"/>
        <u/>
      </rPr>
      <t>C2306</t>
    </r>
  </si>
  <si>
    <t>38.3</t>
  </si>
  <si>
    <t>34.5</t>
  </si>
  <si>
    <t>3,257,550,968</t>
  </si>
  <si>
    <r>
      <rPr>
        <rFont val="Times New Roman"/>
        <sz val="11.0"/>
        <u/>
      </rPr>
      <t>O10724</t>
    </r>
  </si>
  <si>
    <t>C2306</t>
  </si>
  <si>
    <t>O11710</t>
  </si>
  <si>
    <t>4,800,970,991</t>
  </si>
  <si>
    <t>Đông Bắc</t>
  </si>
  <si>
    <t xml:space="preserve">O11710	</t>
  </si>
  <si>
    <t>O20612</t>
  </si>
  <si>
    <t>O12125</t>
  </si>
  <si>
    <t>5,754,381,357</t>
  </si>
  <si>
    <t xml:space="preserve">O12125	</t>
  </si>
  <si>
    <t>Tây Nam</t>
  </si>
  <si>
    <t>O20617</t>
  </si>
  <si>
    <r>
      <rPr>
        <rFont val="Times New Roman"/>
        <color theme="1"/>
        <sz val="11.0"/>
      </rPr>
      <t>O21512B</t>
    </r>
  </si>
  <si>
    <t>84.0</t>
  </si>
  <si>
    <t>7,483,429,003</t>
  </si>
  <si>
    <r>
      <rPr>
        <rFont val="Times New Roman"/>
        <sz val="11.0"/>
        <u/>
      </rPr>
      <t>O21512B</t>
    </r>
  </si>
  <si>
    <r>
      <rPr>
        <rFont val="Times New Roman"/>
        <b/>
        <color rgb="FF1155CC"/>
        <sz val="12.0"/>
        <u/>
      </rPr>
      <t>O11202</t>
    </r>
  </si>
  <si>
    <r>
      <rPr>
        <rFont val="Times New Roman"/>
        <color theme="1"/>
        <sz val="11.0"/>
      </rPr>
      <t>O21926</t>
    </r>
  </si>
  <si>
    <t>O20630</t>
  </si>
  <si>
    <t>58.2</t>
  </si>
  <si>
    <t>4,063,528,996</t>
  </si>
  <si>
    <t>5,655,845,160</t>
  </si>
  <si>
    <r>
      <rPr>
        <rFont val="Times New Roman"/>
        <sz val="11.0"/>
        <u/>
      </rPr>
      <t>O21926</t>
    </r>
  </si>
  <si>
    <t>O11202</t>
  </si>
  <si>
    <r>
      <rPr>
        <rFont val="Times New Roman"/>
        <b/>
        <color rgb="FF1155CC"/>
        <sz val="12.0"/>
        <u/>
      </rPr>
      <t>O12429</t>
    </r>
  </si>
  <si>
    <r>
      <rPr>
        <rFont val="Times New Roman"/>
        <color theme="1"/>
        <sz val="11.0"/>
      </rPr>
      <t>O21903</t>
    </r>
  </si>
  <si>
    <t>5,038,427,153</t>
  </si>
  <si>
    <r>
      <rPr>
        <rFont val="Times New Roman"/>
        <sz val="11.0"/>
        <u/>
      </rPr>
      <t>O21903</t>
    </r>
  </si>
  <si>
    <t>Tây Bắc</t>
  </si>
  <si>
    <t>O20635</t>
  </si>
  <si>
    <r>
      <rPr>
        <rFont val="Times New Roman"/>
        <color theme="1"/>
        <sz val="11.0"/>
      </rPr>
      <t>O22022</t>
    </r>
  </si>
  <si>
    <t>O12429</t>
  </si>
  <si>
    <t>4,180,353,468</t>
  </si>
  <si>
    <r>
      <rPr>
        <rFont val="Times New Roman"/>
        <sz val="11.0"/>
        <u/>
      </rPr>
      <t>O22022</t>
    </r>
  </si>
  <si>
    <r>
      <rPr>
        <rFont val="Times New Roman"/>
        <b/>
        <color rgb="FF1155CC"/>
        <sz val="12.0"/>
        <u/>
      </rPr>
      <t>O10724</t>
    </r>
  </si>
  <si>
    <t>O21607</t>
  </si>
  <si>
    <r>
      <rPr>
        <rFont val="Times New Roman"/>
        <color theme="1"/>
        <sz val="11.0"/>
      </rPr>
      <t>O22005</t>
    </r>
  </si>
  <si>
    <t>5,013,723,600</t>
  </si>
  <si>
    <t>O10724</t>
  </si>
  <si>
    <r>
      <rPr>
        <rFont val="Times New Roman"/>
        <sz val="11.0"/>
        <u/>
      </rPr>
      <t>O22005</t>
    </r>
  </si>
  <si>
    <t>O21610</t>
  </si>
  <si>
    <r>
      <rPr>
        <rFont val="Times New Roman"/>
        <color theme="1"/>
        <sz val="11.0"/>
      </rPr>
      <t>O22319</t>
    </r>
  </si>
  <si>
    <t>34.8</t>
  </si>
  <si>
    <t>2,368,988,952</t>
  </si>
  <si>
    <r>
      <rPr>
        <rFont val="Times New Roman"/>
        <sz val="11.0"/>
        <u/>
      </rPr>
      <t>O22319</t>
    </r>
  </si>
  <si>
    <t>O21627</t>
  </si>
  <si>
    <t>2,889,063,502</t>
  </si>
  <si>
    <t xml:space="preserve">O20635	</t>
  </si>
  <si>
    <r>
      <rPr>
        <rFont val="Times New Roman"/>
        <b/>
        <color rgb="FF1155CC"/>
        <sz val="12.0"/>
        <u/>
      </rPr>
      <t>O21512B</t>
    </r>
  </si>
  <si>
    <r>
      <rPr>
        <rFont val="Times New Roman"/>
        <color theme="1"/>
        <sz val="11.0"/>
      </rPr>
      <t>O20833</t>
    </r>
  </si>
  <si>
    <t>3,581,875,392</t>
  </si>
  <si>
    <r>
      <rPr>
        <rFont val="Times New Roman"/>
        <sz val="11.0"/>
        <u/>
      </rPr>
      <t>O20833</t>
    </r>
  </si>
  <si>
    <t>O21629</t>
  </si>
  <si>
    <t>O21512B</t>
  </si>
  <si>
    <r>
      <rPr>
        <rFont val="Times New Roman"/>
        <b/>
        <color rgb="FF1155CC"/>
        <sz val="12.0"/>
        <u/>
      </rPr>
      <t>O21926</t>
    </r>
  </si>
  <si>
    <t>O20834</t>
  </si>
  <si>
    <t>6,660,112,029</t>
  </si>
  <si>
    <t xml:space="preserve">O20834	</t>
  </si>
  <si>
    <t>O21926</t>
  </si>
  <si>
    <r>
      <rPr>
        <rFont val="Times New Roman"/>
        <b/>
        <color rgb="FF1155CC"/>
        <sz val="12.0"/>
        <u/>
      </rPr>
      <t>O21903</t>
    </r>
  </si>
  <si>
    <t xml:space="preserve">58.0 </t>
  </si>
  <si>
    <t xml:space="preserve">62.6 </t>
  </si>
  <si>
    <t>O20812A</t>
  </si>
  <si>
    <t xml:space="preserve">5,429,216,348 </t>
  </si>
  <si>
    <t>3,546,611,176</t>
  </si>
  <si>
    <t xml:space="preserve">O20812A	</t>
  </si>
  <si>
    <t>O21903</t>
  </si>
  <si>
    <r>
      <rPr>
        <rFont val="Times New Roman"/>
        <b/>
        <color rgb="FF1155CC"/>
        <sz val="12.0"/>
        <u/>
      </rPr>
      <t>O22022</t>
    </r>
  </si>
  <si>
    <r>
      <rPr>
        <rFont val="Times New Roman"/>
        <color theme="1"/>
        <sz val="11.0"/>
      </rPr>
      <t>O21001</t>
    </r>
  </si>
  <si>
    <t>5,053,801,010</t>
  </si>
  <si>
    <r>
      <rPr>
        <rFont val="Times New Roman"/>
        <sz val="11.0"/>
        <u/>
      </rPr>
      <t>O21001</t>
    </r>
  </si>
  <si>
    <t>O22105</t>
  </si>
  <si>
    <t xml:space="preserve">54.1 </t>
  </si>
  <si>
    <t xml:space="preserve">5,048,390,617 </t>
  </si>
  <si>
    <t>O22022</t>
  </si>
  <si>
    <r>
      <rPr>
        <rFont val="Times New Roman"/>
        <color theme="1"/>
        <sz val="11.0"/>
      </rPr>
      <t>O21501</t>
    </r>
  </si>
  <si>
    <r>
      <rPr>
        <rFont val="Times New Roman"/>
        <b/>
        <color rgb="FF1155CC"/>
        <sz val="12.0"/>
        <u/>
      </rPr>
      <t>O22005</t>
    </r>
  </si>
  <si>
    <t>5,241,508,678</t>
  </si>
  <si>
    <r>
      <rPr>
        <rFont val="Times New Roman"/>
        <sz val="11.0"/>
        <u/>
      </rPr>
      <t>O21501</t>
    </r>
  </si>
  <si>
    <t>O22005</t>
  </si>
  <si>
    <t>O21809</t>
  </si>
  <si>
    <t xml:space="preserve">O22212A </t>
  </si>
  <si>
    <t>7,2,351,550</t>
  </si>
  <si>
    <r>
      <rPr>
        <rFont val="Times New Roman"/>
        <b/>
        <color rgb="FF1155CC"/>
        <sz val="12.0"/>
        <u/>
      </rPr>
      <t>O22319</t>
    </r>
  </si>
  <si>
    <t xml:space="preserve">O21809	</t>
  </si>
  <si>
    <t xml:space="preserve">58.5 </t>
  </si>
  <si>
    <t>3,871,133,765</t>
  </si>
  <si>
    <t>O22212A</t>
  </si>
  <si>
    <r>
      <rPr>
        <rFont val="Times New Roman"/>
        <color theme="1"/>
        <sz val="11.0"/>
      </rPr>
      <t>O22028</t>
    </r>
  </si>
  <si>
    <t>O22319</t>
  </si>
  <si>
    <t>7,838,684,409</t>
  </si>
  <si>
    <r>
      <rPr>
        <rFont val="Times New Roman"/>
        <sz val="11.0"/>
        <u/>
      </rPr>
      <t>O22028</t>
    </r>
  </si>
  <si>
    <t>O22425</t>
  </si>
  <si>
    <t>34.6</t>
  </si>
  <si>
    <r>
      <rPr>
        <rFont val="Times New Roman"/>
        <color theme="1"/>
        <sz val="11.0"/>
      </rPr>
      <t>O22032</t>
    </r>
  </si>
  <si>
    <t>3,666,299,977</t>
  </si>
  <si>
    <r>
      <rPr>
        <rFont val="Times New Roman"/>
        <sz val="11.0"/>
        <u/>
      </rPr>
      <t>O22032</t>
    </r>
  </si>
  <si>
    <r>
      <rPr>
        <rFont val="Times New Roman"/>
        <b/>
        <color rgb="FF1155CC"/>
        <sz val="12.0"/>
        <u/>
      </rPr>
      <t>O20833</t>
    </r>
  </si>
  <si>
    <t>TOÀ ONSEN 3</t>
  </si>
  <si>
    <r>
      <rPr>
        <rFont val="Times New Roman"/>
        <color theme="1"/>
        <sz val="11.0"/>
      </rPr>
      <t>O22103A</t>
    </r>
  </si>
  <si>
    <t>5,067,053,799</t>
  </si>
  <si>
    <r>
      <rPr>
        <rFont val="Times New Roman"/>
        <sz val="11.0"/>
        <u/>
      </rPr>
      <t>O22103A</t>
    </r>
  </si>
  <si>
    <t>O20833</t>
  </si>
  <si>
    <r>
      <rPr>
        <rFont val="Times New Roman"/>
        <color theme="1"/>
        <sz val="11.0"/>
      </rPr>
      <t>O22126</t>
    </r>
  </si>
  <si>
    <t>4,120,035,476</t>
  </si>
  <si>
    <r>
      <rPr>
        <rFont val="Times New Roman"/>
        <sz val="11.0"/>
        <u/>
      </rPr>
      <t>O22126</t>
    </r>
  </si>
  <si>
    <r>
      <rPr>
        <rFont val="Times New Roman"/>
        <color theme="1"/>
        <sz val="11.0"/>
      </rPr>
      <t>O22133</t>
    </r>
  </si>
  <si>
    <t>3,932,485,594</t>
  </si>
  <si>
    <r>
      <rPr>
        <rFont val="Times New Roman"/>
        <sz val="11.0"/>
        <u/>
      </rPr>
      <t>O22133</t>
    </r>
  </si>
  <si>
    <t>O22318</t>
  </si>
  <si>
    <r>
      <rPr>
        <rFont val="Times New Roman"/>
        <b/>
        <color rgb="FF1155CC"/>
        <sz val="12.0"/>
        <u/>
      </rPr>
      <t>O21001</t>
    </r>
  </si>
  <si>
    <t>2,578,561,753</t>
  </si>
  <si>
    <t xml:space="preserve">O22318	</t>
  </si>
  <si>
    <t>ONSEN 3</t>
  </si>
  <si>
    <t>O30703</t>
  </si>
  <si>
    <t>O21001</t>
  </si>
  <si>
    <r>
      <rPr>
        <rFont val="Times New Roman"/>
        <b/>
        <color rgb="FF1155CC"/>
        <sz val="12.0"/>
        <u/>
      </rPr>
      <t>O21501</t>
    </r>
  </si>
  <si>
    <t>O22420</t>
  </si>
  <si>
    <t>O21501</t>
  </si>
  <si>
    <t>4,122,255,321</t>
  </si>
  <si>
    <t xml:space="preserve">O22420	</t>
  </si>
  <si>
    <t>09</t>
  </si>
  <si>
    <t>7,162,351,550</t>
  </si>
  <si>
    <t>17</t>
  </si>
  <si>
    <t>O30717</t>
  </si>
  <si>
    <t>O22421</t>
  </si>
  <si>
    <t>4,350,599,111</t>
  </si>
  <si>
    <t xml:space="preserve">O22421	</t>
  </si>
  <si>
    <r>
      <rPr>
        <rFont val="Times New Roman"/>
        <b/>
        <color rgb="FF1155CC"/>
        <sz val="12.0"/>
        <u/>
      </rPr>
      <t>O22028</t>
    </r>
  </si>
  <si>
    <t>C03A09</t>
  </si>
  <si>
    <t>18</t>
  </si>
  <si>
    <t>4,202,811,290</t>
  </si>
  <si>
    <t>O31806</t>
  </si>
  <si>
    <t>O22028</t>
  </si>
  <si>
    <r>
      <rPr>
        <rFont val="Times New Roman"/>
        <b/>
        <color rgb="FF1155CC"/>
        <sz val="12.0"/>
        <u/>
      </rPr>
      <t>O22032</t>
    </r>
  </si>
  <si>
    <t>C03A41</t>
  </si>
  <si>
    <t>4,754,269,854</t>
  </si>
  <si>
    <t>C03A42</t>
  </si>
  <si>
    <t>O22032</t>
  </si>
  <si>
    <t>5,073,042,739</t>
  </si>
  <si>
    <r>
      <rPr>
        <rFont val="Times New Roman"/>
        <b/>
        <color rgb="FF1155CC"/>
        <sz val="12.0"/>
        <u/>
      </rPr>
      <t>O22103A</t>
    </r>
  </si>
  <si>
    <t>O31830</t>
  </si>
  <si>
    <t>C03A43</t>
  </si>
  <si>
    <t>5,318,953,247</t>
  </si>
  <si>
    <t>C0634</t>
  </si>
  <si>
    <t>3,269,519,340</t>
  </si>
  <si>
    <t>O22103A</t>
  </si>
  <si>
    <r>
      <rPr>
        <rFont val="Times New Roman"/>
        <b/>
        <color rgb="FF1155CC"/>
        <sz val="12.0"/>
        <u/>
      </rPr>
      <t>O22126</t>
    </r>
  </si>
  <si>
    <t>C0931</t>
  </si>
  <si>
    <t>15</t>
  </si>
  <si>
    <t>O32215</t>
  </si>
  <si>
    <t>5,640,888,184</t>
  </si>
  <si>
    <t>C0933</t>
  </si>
  <si>
    <t>5,609,549,917</t>
  </si>
  <si>
    <t>O22126</t>
  </si>
  <si>
    <t>C1508</t>
  </si>
  <si>
    <r>
      <rPr>
        <rFont val="Times New Roman"/>
        <b/>
        <color rgb="FF1155CC"/>
        <sz val="12.0"/>
        <u/>
      </rPr>
      <t>O22133</t>
    </r>
  </si>
  <si>
    <t>4,587,512,774</t>
  </si>
  <si>
    <t>O30503</t>
  </si>
  <si>
    <t>C1605</t>
  </si>
  <si>
    <t>4,682,230,793</t>
  </si>
  <si>
    <t>O22133</t>
  </si>
  <si>
    <t>C1702</t>
  </si>
  <si>
    <t>4,514,674,076</t>
  </si>
  <si>
    <t>C1838</t>
  </si>
  <si>
    <t>6,152,476,526</t>
  </si>
  <si>
    <t>O31915</t>
  </si>
  <si>
    <t>C2339</t>
  </si>
  <si>
    <t>8,925,908,642</t>
  </si>
  <si>
    <t>O112A22</t>
  </si>
  <si>
    <t>4,725,648,065</t>
  </si>
  <si>
    <t>O30803A</t>
  </si>
  <si>
    <t>O112A25</t>
  </si>
  <si>
    <t>5,240,581,022</t>
  </si>
  <si>
    <t>O11831</t>
  </si>
  <si>
    <t>5,365,684,697</t>
  </si>
  <si>
    <t>O12425</t>
  </si>
  <si>
    <t>5,872,950,664</t>
  </si>
  <si>
    <t>O30812A</t>
  </si>
  <si>
    <t>O20609</t>
  </si>
  <si>
    <t>6,559,664,124</t>
  </si>
  <si>
    <t>CHARM</t>
  </si>
  <si>
    <t>O20634</t>
  </si>
  <si>
    <t>O212A01</t>
  </si>
  <si>
    <t>O30823</t>
  </si>
  <si>
    <t>5,042,141,100</t>
  </si>
  <si>
    <t>O212A02</t>
  </si>
  <si>
    <t>5,050,834,446</t>
  </si>
  <si>
    <t>O22231</t>
  </si>
  <si>
    <t>4,975,081,515</t>
  </si>
  <si>
    <t>O30825</t>
  </si>
  <si>
    <t>O22331</t>
  </si>
  <si>
    <t>5,008,955,672</t>
  </si>
  <si>
    <t>O22401</t>
  </si>
  <si>
    <t>5,650,457,418</t>
  </si>
  <si>
    <t>O22402</t>
  </si>
  <si>
    <t>5,660,199,587</t>
  </si>
  <si>
    <t>O312A06</t>
  </si>
  <si>
    <t>O22403</t>
  </si>
  <si>
    <t>5,280,255,037</t>
  </si>
  <si>
    <t>O22430</t>
  </si>
  <si>
    <t>4,135,484,506</t>
  </si>
  <si>
    <t>O30530</t>
  </si>
  <si>
    <t>7,093,788,676</t>
  </si>
  <si>
    <t>O312A12</t>
  </si>
  <si>
    <t>O30603A</t>
  </si>
  <si>
    <t>5,628,345,222</t>
  </si>
  <si>
    <t>O31623</t>
  </si>
  <si>
    <t>4,738,057,768</t>
  </si>
  <si>
    <t>C0638</t>
  </si>
  <si>
    <t>O312A22</t>
  </si>
  <si>
    <t>4,870,4,879 (chưa VAT + KPBT)</t>
  </si>
  <si>
    <t>O303A03</t>
  </si>
  <si>
    <t>3,986,272,760 (chưa VAT + KPBT)</t>
  </si>
  <si>
    <t>O30505</t>
  </si>
  <si>
    <t>O312A26</t>
  </si>
  <si>
    <t>4,436,090,202</t>
  </si>
  <si>
    <t>0O12A02</t>
  </si>
  <si>
    <t>O30903A</t>
  </si>
  <si>
    <t>5,757,556,001</t>
  </si>
  <si>
    <t>O30923</t>
  </si>
  <si>
    <t>O31501</t>
  </si>
  <si>
    <t>4,502,258,425</t>
  </si>
  <si>
    <t>O30706</t>
  </si>
  <si>
    <t>6,048,353,931</t>
  </si>
  <si>
    <t>O312A18</t>
  </si>
  <si>
    <t>4,411,072,789</t>
  </si>
  <si>
    <t>O31511</t>
  </si>
  <si>
    <t>O312A24</t>
  </si>
  <si>
    <t>5,910,291,186</t>
  </si>
  <si>
    <t>O312A29</t>
  </si>
  <si>
    <t>4,241,394,585</t>
  </si>
  <si>
    <t>O31518</t>
  </si>
  <si>
    <t>O31901</t>
  </si>
  <si>
    <t>5,024,342,956</t>
  </si>
  <si>
    <t>O31924</t>
  </si>
  <si>
    <t>6,400,357,496</t>
  </si>
  <si>
    <t>4,870,416,879 (chưa VAT + KPBT)</t>
  </si>
  <si>
    <t>O32017</t>
  </si>
  <si>
    <t>6,269,358,248</t>
  </si>
  <si>
    <t>O31524</t>
  </si>
  <si>
    <t>O32128</t>
  </si>
  <si>
    <t>6,073,849,029</t>
  </si>
  <si>
    <t>Four home</t>
  </si>
  <si>
    <t>O31001</t>
  </si>
  <si>
    <t>O30506</t>
  </si>
  <si>
    <t>O31022</t>
  </si>
  <si>
    <t>O31027</t>
  </si>
  <si>
    <t>O31028</t>
  </si>
  <si>
    <t>O30512</t>
  </si>
  <si>
    <t>O31030</t>
  </si>
  <si>
    <t>O312B28</t>
  </si>
  <si>
    <t>O30522</t>
  </si>
  <si>
    <t>52.1</t>
  </si>
  <si>
    <t>O31703</t>
  </si>
  <si>
    <t>C0602</t>
  </si>
  <si>
    <t>C0737</t>
  </si>
  <si>
    <t>O30526</t>
  </si>
  <si>
    <t>34.3</t>
  </si>
  <si>
    <t>C1905</t>
  </si>
  <si>
    <t>O12322</t>
  </si>
  <si>
    <t>NCT</t>
  </si>
  <si>
    <t>O31608</t>
  </si>
  <si>
    <t>O12412A</t>
  </si>
  <si>
    <t>O21102</t>
  </si>
  <si>
    <t>031608</t>
  </si>
  <si>
    <t>O21109</t>
  </si>
  <si>
    <t>O230</t>
  </si>
  <si>
    <t>O31620</t>
  </si>
  <si>
    <t>72.1</t>
  </si>
  <si>
    <t>O31928</t>
  </si>
  <si>
    <t>O21805</t>
  </si>
  <si>
    <t>O22026</t>
  </si>
  <si>
    <t>O31627</t>
  </si>
  <si>
    <t>55.4</t>
  </si>
  <si>
    <t>Mai Việt</t>
  </si>
  <si>
    <t>O30601</t>
  </si>
  <si>
    <t>O30624</t>
  </si>
  <si>
    <t>O31631</t>
  </si>
  <si>
    <t>34.1</t>
  </si>
  <si>
    <t>O312A03A</t>
  </si>
  <si>
    <t>O21630</t>
  </si>
  <si>
    <t>O312A25</t>
  </si>
  <si>
    <t>O32303A</t>
  </si>
  <si>
    <t>O30817</t>
  </si>
  <si>
    <t>O31903</t>
  </si>
  <si>
    <t>O32006</t>
  </si>
  <si>
    <t>O32312A</t>
  </si>
  <si>
    <t>O32022</t>
  </si>
  <si>
    <t>Sky Realty</t>
  </si>
  <si>
    <t>O12418</t>
  </si>
  <si>
    <t>62.60</t>
  </si>
  <si>
    <t>57.9</t>
  </si>
  <si>
    <t>C0508</t>
  </si>
  <si>
    <t>O32323</t>
  </si>
  <si>
    <t>60.8</t>
  </si>
  <si>
    <t>C2018</t>
  </si>
  <si>
    <t>C0738</t>
  </si>
  <si>
    <t>O32325</t>
  </si>
  <si>
    <t>30.0</t>
  </si>
  <si>
    <t>C12B32</t>
  </si>
  <si>
    <t>O21103</t>
  </si>
  <si>
    <t>O21632</t>
  </si>
  <si>
    <t>O30906</t>
  </si>
  <si>
    <t>O22301</t>
  </si>
  <si>
    <t>O32101</t>
  </si>
  <si>
    <t>53.90</t>
  </si>
  <si>
    <t>O30922</t>
  </si>
  <si>
    <t>O31523</t>
  </si>
  <si>
    <t>O30523</t>
  </si>
  <si>
    <t>O30930</t>
  </si>
  <si>
    <t>O30926</t>
  </si>
  <si>
    <t>O31823</t>
  </si>
  <si>
    <t>O32007</t>
  </si>
  <si>
    <t>VHD</t>
  </si>
  <si>
    <t>O31932</t>
  </si>
  <si>
    <t>C0831</t>
  </si>
  <si>
    <t>C12A31</t>
  </si>
  <si>
    <t>O31715</t>
  </si>
  <si>
    <t>O10925</t>
  </si>
  <si>
    <t>CHECK ADMIN</t>
  </si>
  <si>
    <t>O10703A</t>
  </si>
  <si>
    <t>TOÀ THE CHARM</t>
  </si>
  <si>
    <t>O21230</t>
  </si>
  <si>
    <t>O20626</t>
  </si>
  <si>
    <t>Hướng</t>
  </si>
  <si>
    <t>CH/</t>
  </si>
  <si>
    <t>O20633</t>
  </si>
  <si>
    <t>SRT</t>
  </si>
  <si>
    <t>C0530</t>
  </si>
  <si>
    <t>10,589,539,912</t>
  </si>
  <si>
    <t>O21703</t>
  </si>
  <si>
    <t>PH/SH</t>
  </si>
  <si>
    <t>O22111</t>
  </si>
  <si>
    <t>VÀNG</t>
  </si>
  <si>
    <t xml:space="preserve">Nam </t>
  </si>
  <si>
    <t>O21903A</t>
  </si>
  <si>
    <t>C0803A</t>
  </si>
  <si>
    <t>4,997,463,445</t>
  </si>
  <si>
    <t>O21808</t>
  </si>
  <si>
    <t>3,180,590,142</t>
  </si>
  <si>
    <t>MBB</t>
  </si>
  <si>
    <t>O22222</t>
  </si>
  <si>
    <t>Lê Hạnh</t>
  </si>
  <si>
    <t>O32106</t>
  </si>
  <si>
    <t>6,691,850,867</t>
  </si>
  <si>
    <t>Nam</t>
  </si>
  <si>
    <t>C0806</t>
  </si>
  <si>
    <t>O32112</t>
  </si>
  <si>
    <t>3,758,263,279</t>
  </si>
  <si>
    <t>O32122</t>
  </si>
  <si>
    <t>4,699,042,536</t>
  </si>
  <si>
    <t>O31601</t>
  </si>
  <si>
    <t>O30829</t>
  </si>
  <si>
    <t>C0827</t>
  </si>
  <si>
    <t>1BR</t>
  </si>
  <si>
    <t>O31624</t>
  </si>
  <si>
    <t>MDV</t>
  </si>
  <si>
    <t>Tạ Hồng Sơn</t>
  </si>
  <si>
    <t>O31229</t>
  </si>
  <si>
    <t>C0834</t>
  </si>
  <si>
    <t>O30621</t>
  </si>
  <si>
    <t>Hiển</t>
  </si>
  <si>
    <t>O30628</t>
  </si>
  <si>
    <t>C0838</t>
  </si>
  <si>
    <t>O32130</t>
  </si>
  <si>
    <t>FH</t>
  </si>
  <si>
    <t>ĐỎ</t>
  </si>
  <si>
    <t>O31125</t>
  </si>
  <si>
    <t>C2301</t>
  </si>
  <si>
    <t>13.5%</t>
  </si>
  <si>
    <t>O32303</t>
  </si>
  <si>
    <t>5,164,272,324</t>
  </si>
  <si>
    <t>O32309</t>
  </si>
  <si>
    <t>Tuấn</t>
  </si>
  <si>
    <t>2,403,689,840</t>
  </si>
  <si>
    <t>C2305</t>
  </si>
  <si>
    <t>O32317</t>
  </si>
  <si>
    <t>6,399,373,984</t>
  </si>
  <si>
    <t>O20503A</t>
  </si>
  <si>
    <t>O20533</t>
  </si>
  <si>
    <t>Bắc</t>
  </si>
  <si>
    <t>C2315</t>
  </si>
  <si>
    <t>O20702</t>
  </si>
  <si>
    <t>O20709</t>
  </si>
  <si>
    <t>C2317</t>
  </si>
  <si>
    <t>O20703</t>
  </si>
  <si>
    <t>O20734</t>
  </si>
  <si>
    <t>C2324</t>
  </si>
  <si>
    <t>O21006</t>
  </si>
  <si>
    <t>O21012A</t>
  </si>
  <si>
    <t>C2333</t>
  </si>
  <si>
    <t>O21507</t>
  </si>
  <si>
    <t>O21733</t>
  </si>
  <si>
    <t>O21922</t>
  </si>
  <si>
    <t>C1910</t>
  </si>
  <si>
    <t>105.5</t>
  </si>
  <si>
    <t>O203A08</t>
  </si>
  <si>
    <t>O203A16</t>
  </si>
  <si>
    <t>C12A16</t>
  </si>
  <si>
    <t>O212A20</t>
  </si>
  <si>
    <t>C1531</t>
  </si>
  <si>
    <t>Nhật Khang</t>
  </si>
  <si>
    <t>C2102</t>
  </si>
  <si>
    <t>C1928</t>
  </si>
  <si>
    <t>O12103</t>
  </si>
  <si>
    <t>O203A</t>
  </si>
  <si>
    <t>O31225</t>
  </si>
  <si>
    <t>C12A20</t>
  </si>
  <si>
    <t>O31230</t>
  </si>
  <si>
    <t>Hà Thanh</t>
  </si>
  <si>
    <t>O31617</t>
  </si>
  <si>
    <t>C1520</t>
  </si>
  <si>
    <t>Fivestar</t>
  </si>
  <si>
    <t>NSL</t>
  </si>
  <si>
    <t>O20722</t>
  </si>
  <si>
    <t>C0307</t>
  </si>
  <si>
    <t>O21831</t>
  </si>
  <si>
    <t>80.5</t>
  </si>
  <si>
    <t>Mỹ Duyên</t>
  </si>
  <si>
    <t>O21826</t>
  </si>
  <si>
    <t>C0338</t>
  </si>
  <si>
    <t>The Charm</t>
  </si>
  <si>
    <t>C0609</t>
  </si>
  <si>
    <t>C0635</t>
  </si>
  <si>
    <t>39</t>
  </si>
  <si>
    <t>C0641</t>
  </si>
  <si>
    <t>C0739</t>
  </si>
  <si>
    <t>C0731</t>
  </si>
  <si>
    <t>C0809</t>
  </si>
  <si>
    <t>C1633</t>
  </si>
  <si>
    <t>45</t>
  </si>
  <si>
    <t>C0745</t>
  </si>
  <si>
    <t>52.8</t>
  </si>
  <si>
    <t>C2103</t>
  </si>
  <si>
    <t>C2208</t>
  </si>
  <si>
    <t>61.2</t>
  </si>
  <si>
    <t>11</t>
  </si>
  <si>
    <t>Onsen 1</t>
  </si>
  <si>
    <t>C1102</t>
  </si>
  <si>
    <t>O12329</t>
  </si>
  <si>
    <t>Onsen 2</t>
  </si>
  <si>
    <t>O20805</t>
  </si>
  <si>
    <t>C1108</t>
  </si>
  <si>
    <t>O21002</t>
  </si>
  <si>
    <t>O21003A</t>
  </si>
  <si>
    <t>O212B12A</t>
  </si>
  <si>
    <t>C12B31</t>
  </si>
  <si>
    <t>O22101</t>
  </si>
  <si>
    <t>O22203</t>
  </si>
  <si>
    <t>O22203A</t>
  </si>
  <si>
    <t>23</t>
  </si>
  <si>
    <t>C2303</t>
  </si>
  <si>
    <t>O22321</t>
  </si>
  <si>
    <t>O22330</t>
  </si>
  <si>
    <t>O21612A</t>
  </si>
  <si>
    <t>54.6</t>
  </si>
  <si>
    <t>O22307</t>
  </si>
  <si>
    <t>C0945</t>
  </si>
  <si>
    <t>77.0</t>
  </si>
  <si>
    <t>C2309</t>
  </si>
  <si>
    <t>C1701</t>
  </si>
  <si>
    <t>O212A09</t>
  </si>
  <si>
    <t>O212A34</t>
  </si>
  <si>
    <t>C1610</t>
  </si>
  <si>
    <t>Onsen 3</t>
  </si>
  <si>
    <t>O31630</t>
  </si>
  <si>
    <t>O31724</t>
  </si>
  <si>
    <t>82.2</t>
  </si>
  <si>
    <t>O31731</t>
  </si>
  <si>
    <t>C1031</t>
  </si>
  <si>
    <t>O31825</t>
  </si>
  <si>
    <t>O30531</t>
  </si>
  <si>
    <t>O32332</t>
  </si>
  <si>
    <t>O32331</t>
  </si>
  <si>
    <t>O32315</t>
  </si>
  <si>
    <t>O30927</t>
  </si>
  <si>
    <t>O32327</t>
  </si>
  <si>
    <t>THẤP TẦNG</t>
  </si>
  <si>
    <t>O312B29</t>
  </si>
  <si>
    <t>Mã căn thương mại</t>
  </si>
  <si>
    <t>O212A</t>
  </si>
  <si>
    <t>61.0</t>
  </si>
  <si>
    <t>Loại SP</t>
  </si>
  <si>
    <t>O312B22</t>
  </si>
  <si>
    <t>DT đất</t>
  </si>
  <si>
    <t>DTXD T1</t>
  </si>
  <si>
    <t>Tổng DTXD</t>
  </si>
  <si>
    <t>Giá bán niêm yết đã bao gồm VAT và PBT</t>
  </si>
  <si>
    <t>O31729</t>
  </si>
  <si>
    <t>O32329</t>
  </si>
  <si>
    <t>EB 2%</t>
  </si>
  <si>
    <t>O31905</t>
  </si>
  <si>
    <t>Ko Vay vốn NH 2%</t>
  </si>
  <si>
    <t>O31707</t>
  </si>
  <si>
    <t>D5</t>
  </si>
  <si>
    <t>O32302</t>
  </si>
  <si>
    <t>O32307</t>
  </si>
  <si>
    <t>LK3</t>
  </si>
  <si>
    <t>O32320</t>
  </si>
  <si>
    <t>O330</t>
  </si>
  <si>
    <t>D574</t>
  </si>
  <si>
    <t>O32328</t>
  </si>
  <si>
    <t>Reti</t>
  </si>
  <si>
    <t>O21232</t>
  </si>
  <si>
    <t>D2</t>
  </si>
  <si>
    <t>D252</t>
  </si>
  <si>
    <t>O20811</t>
  </si>
  <si>
    <t>SL</t>
  </si>
  <si>
    <t>O20832</t>
  </si>
  <si>
    <t>O20835</t>
  </si>
  <si>
    <t>O21931</t>
  </si>
  <si>
    <t>D233</t>
  </si>
  <si>
    <t>O212A07</t>
  </si>
  <si>
    <t>O21033</t>
  </si>
  <si>
    <t>D243</t>
  </si>
  <si>
    <t>O21530</t>
  </si>
  <si>
    <t>O21908</t>
  </si>
  <si>
    <t>Studio</t>
  </si>
  <si>
    <t>D3</t>
  </si>
  <si>
    <t>D334</t>
  </si>
  <si>
    <t>O22201</t>
  </si>
  <si>
    <t>O22317</t>
  </si>
  <si>
    <t>C0643</t>
  </si>
  <si>
    <t>58.4</t>
  </si>
  <si>
    <t>D339</t>
  </si>
  <si>
    <t>C2109</t>
  </si>
  <si>
    <t>O32103A</t>
  </si>
  <si>
    <t>D6</t>
  </si>
  <si>
    <t>O32123</t>
  </si>
  <si>
    <t>D671</t>
  </si>
  <si>
    <t>O32003A</t>
  </si>
  <si>
    <t>O32023</t>
  </si>
  <si>
    <t>D7</t>
  </si>
  <si>
    <t>D738</t>
  </si>
  <si>
    <t>O30824</t>
  </si>
  <si>
    <t>O30529</t>
  </si>
  <si>
    <t>O30502</t>
  </si>
  <si>
    <t>D16</t>
  </si>
  <si>
    <t>D1615</t>
  </si>
  <si>
    <t>O31705</t>
  </si>
  <si>
    <t>O30905</t>
  </si>
  <si>
    <t>D17</t>
  </si>
  <si>
    <t>O312A30</t>
  </si>
  <si>
    <t>D1712</t>
  </si>
  <si>
    <t>Minh Minh</t>
  </si>
  <si>
    <t>D22</t>
  </si>
  <si>
    <t>C0702</t>
  </si>
  <si>
    <t>D2218</t>
  </si>
  <si>
    <t>4,196,003,697</t>
  </si>
  <si>
    <t>TL</t>
  </si>
  <si>
    <t>C2202</t>
  </si>
  <si>
    <t>4,674,009,265</t>
  </si>
  <si>
    <t>C2203</t>
  </si>
  <si>
    <t>4,837,241,967</t>
  </si>
  <si>
    <t>C12B45</t>
  </si>
  <si>
    <t>ONSEN 1</t>
  </si>
  <si>
    <t>O10602</t>
  </si>
  <si>
    <t>5,476,159,485</t>
  </si>
  <si>
    <t>O10631</t>
  </si>
  <si>
    <t>4,913,960,843</t>
  </si>
  <si>
    <t>6,704,816,422</t>
  </si>
  <si>
    <t>O12124</t>
  </si>
  <si>
    <t>3,650,122,614</t>
  </si>
  <si>
    <t>O20903A</t>
  </si>
  <si>
    <t>4,708,741,128</t>
  </si>
  <si>
    <t>O20905</t>
  </si>
  <si>
    <t>4,691,397,700</t>
  </si>
  <si>
    <t>O212B33</t>
  </si>
  <si>
    <t>3,627,504,377</t>
  </si>
  <si>
    <t>O212B34</t>
  </si>
  <si>
    <t>O21517</t>
  </si>
  <si>
    <t>4,025,729,939</t>
  </si>
  <si>
    <t>O22106</t>
  </si>
  <si>
    <t>5,154,577,550</t>
  </si>
  <si>
    <t>O22107</t>
  </si>
  <si>
    <t>3,299,467,418</t>
  </si>
  <si>
    <t>O22311</t>
  </si>
  <si>
    <t>3,593,452,518</t>
  </si>
  <si>
    <t>O2312A</t>
  </si>
  <si>
    <t>3,947,150,170</t>
  </si>
  <si>
    <t>O30623</t>
  </si>
  <si>
    <t>4,401,201,564</t>
  </si>
  <si>
    <t>O312B24</t>
  </si>
  <si>
    <t>O32103</t>
  </si>
  <si>
    <t>5,094,307,639</t>
  </si>
  <si>
    <t>O31803</t>
  </si>
  <si>
    <t>4,989,360,613</t>
  </si>
  <si>
    <t>O31902</t>
  </si>
  <si>
    <t>O31802</t>
  </si>
  <si>
    <t>O317</t>
  </si>
  <si>
    <t>O32223</t>
  </si>
  <si>
    <t>4,940,171,492</t>
  </si>
  <si>
    <t>O312B05</t>
  </si>
  <si>
    <t>4,538,747,475</t>
  </si>
  <si>
    <t>O31828</t>
  </si>
  <si>
    <t>5,948,860,590</t>
  </si>
  <si>
    <t>O32203A</t>
  </si>
  <si>
    <t>6,317,469,376</t>
  </si>
  <si>
    <t>O312B30</t>
  </si>
  <si>
    <t>7,258,043,428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</si>
</sst>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#,##0.0"/>
    <numFmt numFmtId="166" formatCode="dd/mm/yyyy"/>
    <numFmt numFmtId="167" formatCode="#,##0.00\ [$đ-42A]"/>
    <numFmt numFmtId="168" formatCode="d.m"/>
    <numFmt numFmtId="169" formatCode="hh:mm"/>
    <numFmt numFmtId="170" formatCode="0.0"/>
    <numFmt numFmtId="171" formatCode="_(* #,##0_);_(* \(#,##0\);_(* &quot;-&quot;??_);_(@_)"/>
  </numFmts>
  <fonts count="7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Times New Roman"/>
    </font>
    <font>
      <b/>
      <color rgb="FF000000"/>
      <name val="Arial"/>
    </font>
    <font>
      <b/>
      <sz val="11.0"/>
      <color theme="1"/>
      <name val="Times New Roman"/>
    </font>
    <font>
      <b/>
      <sz val="13.0"/>
      <color theme="1"/>
      <name val="Times New Roman"/>
    </font>
    <font/>
    <font>
      <sz val="11.0"/>
      <color rgb="FF000000"/>
      <name val="Arial"/>
    </font>
    <font>
      <color rgb="FF000000"/>
      <name val="Arial"/>
    </font>
    <font>
      <b/>
      <color theme="1"/>
      <name val="Times New Roman"/>
    </font>
    <font>
      <b/>
      <i/>
      <sz val="11.0"/>
      <color rgb="FF000000"/>
      <name val="&quot;Times New Roman&quot;"/>
    </font>
    <font>
      <b/>
      <sz val="11.0"/>
      <color theme="0"/>
      <name val="Times New Roman"/>
    </font>
    <font>
      <b/>
      <sz val="11.0"/>
      <color rgb="FF000000"/>
      <name val="&quot;Times New Roman&quot;"/>
    </font>
    <font>
      <b/>
      <sz val="11.0"/>
      <color rgb="FFFFFFFF"/>
      <name val="Times New Roman"/>
    </font>
    <font>
      <color theme="1"/>
      <name val="Arial"/>
      <scheme val="minor"/>
    </font>
    <font>
      <b/>
      <color rgb="FFFFFFFF"/>
      <name val="Arial"/>
      <scheme val="minor"/>
    </font>
    <font>
      <b/>
      <sz val="20.0"/>
      <color rgb="FF000000"/>
      <name val="&quot;Times New Roman&quot;"/>
    </font>
    <font>
      <b/>
      <sz val="20.0"/>
      <color theme="1"/>
      <name val="Times New Roman"/>
    </font>
    <font>
      <u/>
      <sz val="11.0"/>
      <color rgb="FF0000FF"/>
      <name val="Times New Roman"/>
    </font>
    <font>
      <b/>
      <sz val="11.0"/>
      <color rgb="FFFFFF00"/>
      <name val="&quot;Times New Roman&quot;"/>
    </font>
    <font>
      <b/>
      <color rgb="FFFFFF00"/>
      <name val="Times New Roman"/>
    </font>
    <font>
      <sz val="11.0"/>
      <color rgb="FF000000"/>
      <name val="&quot;Times New Roman&quot;"/>
    </font>
    <font>
      <u/>
      <sz val="11.0"/>
      <color rgb="FF1155CC"/>
      <name val="Times New Roman"/>
    </font>
    <font>
      <color theme="1"/>
      <name val="&quot;Times New Roman&quot;"/>
    </font>
    <font>
      <b/>
      <sz val="11.0"/>
      <color rgb="FFFF0000"/>
      <name val="Times New Roman"/>
    </font>
    <font>
      <u/>
      <color theme="1"/>
      <name val="&quot;Times New Roman&quot;"/>
    </font>
    <font>
      <color rgb="FF000000"/>
      <name val="&quot;Times New Roman&quot;"/>
    </font>
    <font>
      <u/>
      <sz val="11.0"/>
      <color rgb="FF1155CC"/>
      <name val="Times New Roman"/>
    </font>
    <font>
      <sz val="11.0"/>
      <color rgb="FF000000"/>
      <name val="Times New Roman"/>
    </font>
    <font>
      <b/>
      <color theme="1"/>
      <name val="Arial"/>
      <scheme val="minor"/>
    </font>
    <font>
      <sz val="12.0"/>
      <color rgb="FF000000"/>
      <name val="Times New Roman"/>
    </font>
    <font>
      <sz val="11.0"/>
      <color theme="1"/>
      <name val="Arial"/>
    </font>
    <font>
      <u/>
      <color rgb="FF000000"/>
      <name val="&quot;Times New Roman&quot;"/>
    </font>
    <font>
      <u/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FFFF00"/>
      <name val="Times New Roman"/>
    </font>
    <font>
      <sz val="12.0"/>
      <color rgb="FF000000"/>
      <name val="Calibri"/>
    </font>
    <font>
      <sz val="11.0"/>
      <color rgb="FF000000"/>
      <name val="Calibri"/>
    </font>
    <font>
      <u/>
      <color theme="1"/>
      <name val="&quot;Times New Roman&quot;"/>
    </font>
    <font>
      <u/>
      <color theme="1"/>
      <name val="&quot;Times New Roman&quot;"/>
    </font>
    <font>
      <color theme="1"/>
      <name val="Times New Roman"/>
    </font>
    <font>
      <u/>
      <color theme="1"/>
      <name val="Times New Roman"/>
    </font>
    <font>
      <u/>
      <sz val="11.0"/>
      <color theme="1"/>
      <name val="Times New Roman"/>
    </font>
    <font>
      <b/>
      <color rgb="FFFF00FF"/>
      <name val="Times New Roman"/>
    </font>
    <font>
      <b/>
      <u/>
      <color rgb="FFFF00FF"/>
      <name val="Times New Roman"/>
    </font>
    <font>
      <u/>
      <color theme="1"/>
      <name val="Times New Roman"/>
    </font>
    <font>
      <u/>
      <sz val="11.0"/>
      <color theme="1"/>
      <name val="Times New Roman"/>
    </font>
    <font>
      <sz val="12.0"/>
      <color theme="1"/>
      <name val="Times New Roman"/>
    </font>
    <font>
      <b/>
      <sz val="12.0"/>
      <color rgb="FFFF00FF"/>
      <name val="Times New Roman"/>
    </font>
    <font>
      <b/>
      <sz val="12.0"/>
      <color theme="1"/>
      <name val="Times New Roman"/>
    </font>
    <font>
      <b/>
      <u/>
      <sz val="12.0"/>
      <color rgb="FFFF00FF"/>
      <name val="Times New Roman"/>
    </font>
    <font>
      <u/>
      <color theme="1"/>
      <name val="&quot;Times New Roman&quot;"/>
    </font>
    <font>
      <b/>
      <u/>
      <sz val="12.0"/>
      <color rgb="FF1155CC"/>
      <name val="Times New Roman"/>
    </font>
    <font>
      <b/>
      <u/>
      <sz val="12.0"/>
      <color rgb="FF1155CC"/>
      <name val="Times New Roman"/>
    </font>
    <font>
      <color rgb="FF000000"/>
      <name val="Times New Roman"/>
    </font>
    <font>
      <sz val="10.0"/>
      <color theme="1"/>
      <name val="Arial"/>
    </font>
    <font>
      <u/>
      <color theme="1"/>
      <name val="Times New Roman"/>
    </font>
    <font>
      <b/>
      <sz val="10.0"/>
      <color rgb="FF000000"/>
      <name val="Arial"/>
    </font>
    <font>
      <u/>
      <sz val="10.0"/>
      <color theme="1"/>
      <name val="Arial"/>
    </font>
    <font>
      <b/>
      <u/>
      <sz val="12.0"/>
      <color rgb="FF1C4587"/>
      <name val="Times New Roman"/>
    </font>
    <font>
      <u/>
      <sz val="10.0"/>
      <color theme="1"/>
      <name val="Arial"/>
    </font>
    <font>
      <u/>
      <sz val="10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u/>
      <sz val="10.0"/>
      <color theme="1"/>
      <name val="Arial"/>
    </font>
    <font>
      <b/>
      <sz val="11.0"/>
      <color theme="1"/>
      <name val="Arial"/>
    </font>
    <font>
      <u/>
      <sz val="12.0"/>
      <color rgb="FF000000"/>
      <name val="&quot;Times New Roman&quot;"/>
    </font>
    <font>
      <u/>
      <sz val="12.0"/>
      <color rgb="FF000000"/>
      <name val="&quot;Times New Roman&quot;"/>
    </font>
    <font>
      <u/>
      <sz val="12.0"/>
      <color rgb="FF000000"/>
      <name val="&quot;Times New Roman&quot;"/>
    </font>
    <font>
      <sz val="11.0"/>
      <color theme="1"/>
      <name val="Arial"/>
      <scheme val="minor"/>
    </font>
    <font>
      <b/>
      <sz val="22.0"/>
      <color theme="1"/>
      <name val="Times New Roman"/>
    </font>
    <font>
      <b/>
      <color theme="1"/>
      <name val="Arial"/>
    </font>
    <font>
      <b/>
      <color rgb="FF000000"/>
      <name val="Times New Roman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660000"/>
        <bgColor rgb="FF66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0C343D"/>
        <bgColor rgb="FF0C343D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3" numFmtId="0" xfId="0" applyBorder="1" applyFill="1" applyFont="1"/>
    <xf borderId="3" fillId="0" fontId="4" numFmtId="3" xfId="0" applyAlignment="1" applyBorder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2" fillId="0" fontId="6" numFmtId="0" xfId="0" applyBorder="1" applyFont="1"/>
    <xf borderId="2" fillId="2" fontId="7" numFmtId="0" xfId="0" applyBorder="1" applyFont="1"/>
    <xf borderId="4" fillId="0" fontId="6" numFmtId="0" xfId="0" applyBorder="1" applyFont="1"/>
    <xf borderId="2" fillId="2" fontId="8" numFmtId="0" xfId="0" applyBorder="1" applyFont="1"/>
    <xf borderId="0" fillId="0" fontId="1" numFmtId="3" xfId="0" applyAlignment="1" applyFont="1" applyNumberFormat="1">
      <alignment vertical="bottom"/>
    </xf>
    <xf borderId="1" fillId="3" fontId="4" numFmtId="0" xfId="0" applyAlignment="1" applyBorder="1" applyFill="1" applyFont="1">
      <alignment horizontal="center" vertical="bottom"/>
    </xf>
    <xf borderId="2" fillId="2" fontId="8" numFmtId="0" xfId="0" applyAlignment="1" applyBorder="1" applyFont="1">
      <alignment horizontal="center"/>
    </xf>
    <xf borderId="1" fillId="4" fontId="4" numFmtId="0" xfId="0" applyAlignment="1" applyBorder="1" applyFill="1" applyFont="1">
      <alignment horizontal="center"/>
    </xf>
    <xf borderId="0" fillId="3" fontId="9" numFmtId="0" xfId="0" applyAlignment="1" applyFont="1">
      <alignment horizontal="center" vertical="bottom"/>
    </xf>
    <xf borderId="2" fillId="2" fontId="10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0" fillId="4" fontId="9" numFmtId="0" xfId="0" applyAlignment="1" applyFont="1">
      <alignment horizontal="center"/>
    </xf>
    <xf borderId="0" fillId="0" fontId="1" numFmtId="0" xfId="0" applyFont="1"/>
    <xf borderId="1" fillId="2" fontId="2" numFmtId="0" xfId="0" applyBorder="1" applyFont="1"/>
    <xf borderId="1" fillId="2" fontId="2" numFmtId="0" xfId="0" applyAlignment="1" applyBorder="1" applyFont="1">
      <alignment vertical="bottom"/>
    </xf>
    <xf borderId="1" fillId="5" fontId="4" numFmtId="0" xfId="0" applyAlignment="1" applyBorder="1" applyFill="1" applyFont="1">
      <alignment horizontal="center" vertical="bottom"/>
    </xf>
    <xf borderId="0" fillId="2" fontId="1" numFmtId="0" xfId="0" applyFont="1"/>
    <xf borderId="1" fillId="6" fontId="11" numFmtId="0" xfId="0" applyAlignment="1" applyBorder="1" applyFill="1" applyFont="1">
      <alignment horizontal="center"/>
    </xf>
    <xf borderId="2" fillId="2" fontId="10" numFmtId="164" xfId="0" applyAlignment="1" applyBorder="1" applyFont="1" applyNumberFormat="1">
      <alignment horizontal="center" readingOrder="0" shrinkToFit="0" wrapText="1"/>
    </xf>
    <xf borderId="0" fillId="2" fontId="1" numFmtId="0" xfId="0" applyAlignment="1" applyFont="1">
      <alignment vertical="bottom"/>
    </xf>
    <xf borderId="1" fillId="6" fontId="11" numFmtId="0" xfId="0" applyAlignment="1" applyBorder="1" applyFont="1">
      <alignment horizontal="center" readingOrder="0"/>
    </xf>
    <xf borderId="2" fillId="5" fontId="12" numFmtId="0" xfId="0" applyAlignment="1" applyBorder="1" applyFont="1">
      <alignment horizontal="center" readingOrder="0" shrinkToFit="0" wrapText="1"/>
    </xf>
    <xf borderId="4" fillId="3" fontId="12" numFmtId="0" xfId="0" applyAlignment="1" applyBorder="1" applyFont="1">
      <alignment horizontal="center" readingOrder="0" shrinkToFit="0" wrapText="1"/>
    </xf>
    <xf borderId="0" fillId="5" fontId="9" numFmtId="0" xfId="0" applyAlignment="1" applyFont="1">
      <alignment horizontal="center" vertical="bottom"/>
    </xf>
    <xf borderId="4" fillId="7" fontId="12" numFmtId="0" xfId="0" applyAlignment="1" applyBorder="1" applyFill="1" applyFont="1">
      <alignment horizontal="center" readingOrder="0" shrinkToFit="0" wrapText="1"/>
    </xf>
    <xf borderId="1" fillId="6" fontId="11" numFmtId="0" xfId="0" applyAlignment="1" applyBorder="1" applyFont="1">
      <alignment horizontal="center" shrinkToFit="0" wrapText="1"/>
    </xf>
    <xf borderId="4" fillId="8" fontId="12" numFmtId="0" xfId="0" applyAlignment="1" applyBorder="1" applyFill="1" applyFont="1">
      <alignment horizontal="center" readingOrder="0" shrinkToFit="0" wrapText="1"/>
    </xf>
    <xf borderId="1" fillId="6" fontId="13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horizontal="center"/>
    </xf>
    <xf borderId="0" fillId="6" fontId="15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4" fillId="2" fontId="8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0" fillId="2" fontId="8" numFmtId="0" xfId="0" applyFont="1"/>
    <xf borderId="1" fillId="0" fontId="2" numFmtId="2" xfId="0" applyAlignment="1" applyBorder="1" applyFont="1" applyNumberFormat="1">
      <alignment horizontal="center" vertical="bottom"/>
    </xf>
    <xf borderId="0" fillId="2" fontId="14" numFmtId="0" xfId="0" applyFont="1"/>
    <xf borderId="1" fillId="6" fontId="13" numFmtId="0" xfId="0" applyAlignment="1" applyBorder="1" applyFont="1">
      <alignment horizontal="center" shrinkToFit="0" wrapText="1"/>
    </xf>
    <xf borderId="1" fillId="0" fontId="2" numFmtId="3" xfId="0" applyAlignment="1" applyBorder="1" applyFont="1" applyNumberFormat="1">
      <alignment horizontal="center" vertical="bottom"/>
    </xf>
    <xf borderId="5" fillId="9" fontId="16" numFmtId="0" xfId="0" applyAlignment="1" applyBorder="1" applyFill="1" applyFont="1">
      <alignment horizontal="center" readingOrder="0" shrinkToFit="0" wrapText="1"/>
    </xf>
    <xf borderId="1" fillId="6" fontId="13" numFmtId="3" xfId="0" applyAlignment="1" applyBorder="1" applyFont="1" applyNumberFormat="1">
      <alignment horizontal="center" shrinkToFit="0" wrapText="1"/>
    </xf>
    <xf borderId="6" fillId="9" fontId="17" numFmtId="0" xfId="0" applyAlignment="1" applyBorder="1" applyFont="1">
      <alignment horizontal="center" readingOrder="0" shrinkToFit="0" vertical="bottom" wrapText="1"/>
    </xf>
    <xf borderId="5" fillId="0" fontId="6" numFmtId="0" xfId="0" applyBorder="1" applyFont="1"/>
    <xf borderId="0" fillId="9" fontId="17" numFmtId="0" xfId="0" applyAlignment="1" applyFont="1">
      <alignment horizontal="center" readingOrder="0" shrinkToFit="0" vertical="bottom" wrapText="1"/>
    </xf>
    <xf borderId="1" fillId="0" fontId="18" numFmtId="0" xfId="0" applyAlignment="1" applyBorder="1" applyFont="1">
      <alignment horizontal="center" vertical="bottom"/>
    </xf>
    <xf borderId="7" fillId="10" fontId="19" numFmtId="0" xfId="0" applyAlignment="1" applyBorder="1" applyFill="1" applyFont="1">
      <alignment horizontal="center" readingOrder="0"/>
    </xf>
    <xf borderId="8" fillId="10" fontId="19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9" fillId="10" fontId="19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9" fillId="10" fontId="19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center" vertical="bottom"/>
    </xf>
    <xf borderId="8" fillId="10" fontId="19" numFmtId="0" xfId="0" applyAlignment="1" applyBorder="1" applyFont="1">
      <alignment horizontal="center" readingOrder="0" shrinkToFit="0" wrapText="1"/>
    </xf>
    <xf borderId="1" fillId="2" fontId="2" numFmtId="2" xfId="0" applyAlignment="1" applyBorder="1" applyFont="1" applyNumberFormat="1">
      <alignment horizontal="center" vertical="bottom"/>
    </xf>
    <xf borderId="5" fillId="10" fontId="19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vertical="bottom"/>
    </xf>
    <xf borderId="8" fillId="0" fontId="6" numFmtId="0" xfId="0" applyBorder="1" applyFont="1"/>
    <xf borderId="1" fillId="4" fontId="4" numFmtId="3" xfId="0" applyAlignment="1" applyBorder="1" applyFont="1" applyNumberFormat="1">
      <alignment horizontal="center" vertical="bottom"/>
    </xf>
    <xf borderId="0" fillId="10" fontId="19" numFmtId="0" xfId="0" applyAlignment="1" applyFont="1">
      <alignment horizontal="center" readingOrder="0" shrinkToFit="0" wrapText="1"/>
    </xf>
    <xf borderId="0" fillId="10" fontId="20" numFmtId="0" xfId="0" applyAlignment="1" applyFont="1">
      <alignment horizontal="center" readingOrder="0" vertical="bottom"/>
    </xf>
    <xf borderId="10" fillId="0" fontId="6" numFmtId="0" xfId="0" applyBorder="1" applyFont="1"/>
    <xf quotePrefix="1" borderId="1" fillId="4" fontId="4" numFmtId="0" xfId="0" applyAlignment="1" applyBorder="1" applyFont="1">
      <alignment horizontal="center" vertical="bottom"/>
    </xf>
    <xf borderId="9" fillId="10" fontId="7" numFmtId="0" xfId="0" applyBorder="1" applyFont="1"/>
    <xf borderId="8" fillId="10" fontId="20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vertical="bottom"/>
    </xf>
    <xf borderId="8" fillId="10" fontId="8" numFmtId="0" xfId="0" applyBorder="1" applyFont="1"/>
    <xf borderId="0" fillId="10" fontId="8" numFmtId="0" xfId="0" applyFont="1"/>
    <xf borderId="0" fillId="10" fontId="1" numFmtId="0" xfId="0" applyAlignment="1" applyFont="1">
      <alignment vertical="bottom"/>
    </xf>
    <xf borderId="10" fillId="0" fontId="21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readingOrder="0" shrinkToFit="0" vertical="bottom" wrapText="0"/>
    </xf>
    <xf borderId="1" fillId="4" fontId="22" numFmtId="0" xfId="0" applyAlignment="1" applyBorder="1" applyFont="1">
      <alignment horizontal="center" vertical="bottom"/>
    </xf>
    <xf borderId="1" fillId="0" fontId="21" numFmtId="0" xfId="0" applyAlignment="1" applyBorder="1" applyFont="1">
      <alignment horizontal="center" readingOrder="0" shrinkToFit="0" wrapText="1"/>
    </xf>
    <xf borderId="1" fillId="0" fontId="2" numFmtId="165" xfId="0" applyAlignment="1" applyBorder="1" applyFont="1" applyNumberFormat="1">
      <alignment horizontal="center"/>
    </xf>
    <xf borderId="8" fillId="0" fontId="2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2" numFmtId="166" xfId="0" applyAlignment="1" applyBorder="1" applyFont="1" applyNumberFormat="1">
      <alignment horizontal="center"/>
    </xf>
    <xf quotePrefix="1" borderId="1" fillId="0" fontId="8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center" readingOrder="0" shrinkToFit="0" wrapText="0"/>
    </xf>
    <xf borderId="1" fillId="2" fontId="4" numFmtId="3" xfId="0" applyAlignment="1" applyBorder="1" applyFont="1" applyNumberFormat="1">
      <alignment horizontal="center" vertical="bottom"/>
    </xf>
    <xf borderId="8" fillId="0" fontId="23" numFmtId="0" xfId="0" applyAlignment="1" applyBorder="1" applyFont="1">
      <alignment horizontal="center" readingOrder="0"/>
    </xf>
    <xf quotePrefix="1" borderId="1" fillId="2" fontId="24" numFmtId="0" xfId="0" applyAlignment="1" applyBorder="1" applyFont="1">
      <alignment horizontal="center" vertical="bottom"/>
    </xf>
    <xf borderId="8" fillId="0" fontId="23" numFmtId="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vertical="bottom"/>
    </xf>
    <xf borderId="1" fillId="2" fontId="2" numFmtId="164" xfId="0" applyAlignment="1" applyBorder="1" applyFont="1" applyNumberFormat="1">
      <alignment horizontal="center" vertical="bottom"/>
    </xf>
    <xf borderId="1" fillId="0" fontId="2" numFmtId="4" xfId="0" applyAlignment="1" applyBorder="1" applyFont="1" applyNumberFormat="1">
      <alignment horizontal="center"/>
    </xf>
    <xf borderId="8" fillId="0" fontId="25" numFmtId="0" xfId="0" applyAlignment="1" applyBorder="1" applyFont="1">
      <alignment horizontal="center" readingOrder="0"/>
    </xf>
    <xf borderId="8" fillId="0" fontId="26" numFmtId="0" xfId="0" applyAlignment="1" applyBorder="1" applyFont="1">
      <alignment horizontal="center" readingOrder="0"/>
    </xf>
    <xf borderId="0" fillId="0" fontId="26" numFmtId="0" xfId="0" applyAlignment="1" applyFont="1">
      <alignment horizontal="center" readingOrder="0"/>
    </xf>
    <xf borderId="1" fillId="2" fontId="27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bottom"/>
    </xf>
    <xf borderId="1" fillId="2" fontId="2" numFmtId="0" xfId="0" applyAlignment="1" applyBorder="1" applyFont="1">
      <alignment horizontal="center" readingOrder="0"/>
    </xf>
    <xf borderId="10" fillId="3" fontId="21" numFmtId="0" xfId="0" applyAlignment="1" applyBorder="1" applyFont="1">
      <alignment horizontal="center" readingOrder="0" shrinkToFit="0" wrapText="1"/>
    </xf>
    <xf borderId="1" fillId="3" fontId="8" numFmtId="0" xfId="0" applyAlignment="1" applyBorder="1" applyFont="1">
      <alignment readingOrder="0" shrinkToFit="0" vertical="bottom" wrapText="0"/>
    </xf>
    <xf borderId="1" fillId="3" fontId="28" numFmtId="0" xfId="0" applyAlignment="1" applyBorder="1" applyFont="1">
      <alignment readingOrder="0" shrinkToFit="0" wrapText="1"/>
    </xf>
    <xf borderId="8" fillId="3" fontId="21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shrinkToFit="0" vertical="bottom" wrapText="0"/>
    </xf>
    <xf quotePrefix="1" borderId="1" fillId="3" fontId="8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3" xfId="0" applyAlignment="1" applyBorder="1" applyFont="1" applyNumberFormat="1">
      <alignment horizontal="center" vertical="bottom"/>
    </xf>
    <xf borderId="1" fillId="3" fontId="8" numFmtId="0" xfId="0" applyAlignment="1" applyBorder="1" applyFont="1">
      <alignment horizontal="center" readingOrder="0" shrinkToFit="0" wrapText="0"/>
    </xf>
    <xf borderId="1" fillId="0" fontId="2" numFmtId="166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3" fontId="3" numFmtId="3" xfId="0" applyAlignment="1" applyBorder="1" applyFont="1" applyNumberFormat="1">
      <alignment horizontal="center" readingOrder="0" shrinkToFit="0" wrapText="0"/>
    </xf>
    <xf borderId="8" fillId="3" fontId="26" numFmtId="0" xfId="0" applyAlignment="1" applyBorder="1" applyFont="1">
      <alignment horizontal="center" readingOrder="0"/>
    </xf>
    <xf borderId="8" fillId="3" fontId="23" numFmtId="9" xfId="0" applyAlignment="1" applyBorder="1" applyFont="1" applyNumberFormat="1">
      <alignment horizontal="center" readingOrder="0"/>
    </xf>
    <xf borderId="0" fillId="3" fontId="26" numFmtId="0" xfId="0" applyAlignment="1" applyFont="1">
      <alignment horizontal="center" readingOrder="0"/>
    </xf>
    <xf borderId="1" fillId="0" fontId="29" numFmtId="0" xfId="0" applyAlignment="1" applyBorder="1" applyFont="1">
      <alignment horizontal="center"/>
    </xf>
    <xf borderId="0" fillId="0" fontId="14" numFmtId="0" xfId="0" applyAlignment="1" applyFont="1">
      <alignment readingOrder="0"/>
    </xf>
    <xf borderId="1" fillId="0" fontId="14" numFmtId="0" xfId="0" applyAlignment="1" applyBorder="1" applyFont="1">
      <alignment horizontal="center"/>
    </xf>
    <xf borderId="1" fillId="0" fontId="29" numFmtId="3" xfId="0" applyAlignment="1" applyBorder="1" applyFont="1" applyNumberFormat="1">
      <alignment horizontal="center"/>
    </xf>
    <xf borderId="1" fillId="0" fontId="29" numFmtId="165" xfId="0" applyAlignment="1" applyBorder="1" applyFont="1" applyNumberFormat="1">
      <alignment horizontal="center"/>
    </xf>
    <xf borderId="1" fillId="0" fontId="29" numFmtId="167" xfId="0" applyAlignment="1" applyBorder="1" applyFont="1" applyNumberFormat="1">
      <alignment horizontal="center"/>
    </xf>
    <xf borderId="1" fillId="0" fontId="14" numFmtId="0" xfId="0" applyAlignment="1" applyBorder="1" applyFont="1">
      <alignment horizontal="center" readingOrder="0"/>
    </xf>
    <xf borderId="1" fillId="0" fontId="14" numFmtId="165" xfId="0" applyAlignment="1" applyBorder="1" applyFont="1" applyNumberFormat="1">
      <alignment horizontal="center"/>
    </xf>
    <xf borderId="1" fillId="0" fontId="14" numFmtId="3" xfId="0" applyAlignment="1" applyBorder="1" applyFont="1" applyNumberFormat="1">
      <alignment horizontal="center"/>
    </xf>
    <xf borderId="1" fillId="0" fontId="14" numFmtId="9" xfId="0" applyAlignment="1" applyBorder="1" applyFont="1" applyNumberFormat="1">
      <alignment horizontal="center"/>
    </xf>
    <xf borderId="1" fillId="0" fontId="14" numFmtId="166" xfId="0" applyAlignment="1" applyBorder="1" applyFont="1" applyNumberFormat="1">
      <alignment horizontal="center"/>
    </xf>
    <xf borderId="1" fillId="0" fontId="14" numFmtId="4" xfId="0" applyAlignment="1" applyBorder="1" applyFont="1" applyNumberFormat="1">
      <alignment horizontal="center"/>
    </xf>
    <xf borderId="1" fillId="0" fontId="2" numFmtId="3" xfId="0" applyAlignment="1" applyBorder="1" applyFont="1" applyNumberFormat="1">
      <alignment horizontal="center" readingOrder="0"/>
    </xf>
    <xf borderId="1" fillId="3" fontId="21" numFmtId="0" xfId="0" applyAlignment="1" applyBorder="1" applyFont="1">
      <alignment horizontal="center" readingOrder="0" shrinkToFit="0" wrapText="1"/>
    </xf>
    <xf borderId="1" fillId="0" fontId="2" numFmtId="49" xfId="0" applyAlignment="1" applyBorder="1" applyFont="1" applyNumberFormat="1">
      <alignment horizontal="center"/>
    </xf>
    <xf borderId="1" fillId="3" fontId="30" numFmtId="0" xfId="0" applyAlignment="1" applyBorder="1" applyFont="1">
      <alignment readingOrder="0" shrinkToFit="0" wrapText="1"/>
    </xf>
    <xf borderId="10" fillId="2" fontId="21" numFmtId="0" xfId="0" applyAlignment="1" applyBorder="1" applyFont="1">
      <alignment horizontal="center" readingOrder="0" shrinkToFit="0" wrapText="1"/>
    </xf>
    <xf borderId="1" fillId="2" fontId="8" numFmtId="0" xfId="0" applyAlignment="1" applyBorder="1" applyFont="1">
      <alignment readingOrder="0" shrinkToFit="0" vertical="bottom" wrapText="0"/>
    </xf>
    <xf borderId="1" fillId="2" fontId="28" numFmtId="0" xfId="0" applyAlignment="1" applyBorder="1" applyFont="1">
      <alignment readingOrder="0" shrinkToFit="0" wrapText="1"/>
    </xf>
    <xf borderId="8" fillId="2" fontId="21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 shrinkToFit="0" vertical="bottom" wrapText="0"/>
    </xf>
    <xf borderId="8" fillId="0" fontId="31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readingOrder="0" shrinkToFit="0" wrapText="0"/>
    </xf>
    <xf borderId="1" fillId="2" fontId="3" numFmtId="3" xfId="0" applyAlignment="1" applyBorder="1" applyFont="1" applyNumberFormat="1">
      <alignment horizontal="center" readingOrder="0" shrinkToFit="0" wrapText="0"/>
    </xf>
    <xf borderId="8" fillId="2" fontId="26" numFmtId="0" xfId="0" applyAlignment="1" applyBorder="1" applyFont="1">
      <alignment horizontal="center" readingOrder="0"/>
    </xf>
    <xf borderId="8" fillId="2" fontId="26" numFmtId="3" xfId="0" applyAlignment="1" applyBorder="1" applyFont="1" applyNumberFormat="1">
      <alignment horizontal="center" readingOrder="0"/>
    </xf>
    <xf borderId="1" fillId="0" fontId="23" numFmtId="10" xfId="0" applyAlignment="1" applyBorder="1" applyFont="1" applyNumberFormat="1">
      <alignment horizontal="center" readingOrder="0"/>
    </xf>
    <xf borderId="8" fillId="2" fontId="32" numFmtId="0" xfId="0" applyAlignment="1" applyBorder="1" applyFont="1">
      <alignment horizontal="center" readingOrder="0"/>
    </xf>
    <xf borderId="0" fillId="10" fontId="1" numFmtId="0" xfId="0" applyAlignment="1" applyFont="1">
      <alignment readingOrder="0" vertical="bottom"/>
    </xf>
    <xf borderId="0" fillId="2" fontId="14" numFmtId="0" xfId="0" applyAlignment="1" applyFont="1">
      <alignment readingOrder="0"/>
    </xf>
    <xf borderId="8" fillId="3" fontId="31" numFmtId="0" xfId="0" applyAlignment="1" applyBorder="1" applyFont="1">
      <alignment horizontal="center" vertical="bottom"/>
    </xf>
    <xf borderId="1" fillId="0" fontId="14" numFmtId="49" xfId="0" applyAlignment="1" applyBorder="1" applyFont="1" applyNumberFormat="1">
      <alignment horizontal="center"/>
    </xf>
    <xf borderId="8" fillId="3" fontId="26" numFmtId="3" xfId="0" applyAlignment="1" applyBorder="1" applyFont="1" applyNumberFormat="1">
      <alignment horizontal="center" readingOrder="0"/>
    </xf>
    <xf borderId="8" fillId="3" fontId="33" numFmtId="0" xfId="0" applyAlignment="1" applyBorder="1" applyFont="1">
      <alignment horizontal="center" readingOrder="0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3" fontId="14" numFmtId="0" xfId="0" applyAlignment="1" applyFont="1">
      <alignment readingOrder="0"/>
    </xf>
    <xf borderId="0" fillId="3" fontId="14" numFmtId="0" xfId="0" applyFont="1"/>
    <xf quotePrefix="1" borderId="1" fillId="2" fontId="8" numFmtId="0" xfId="0" applyAlignment="1" applyBorder="1" applyFont="1">
      <alignment horizontal="center" readingOrder="0" shrinkToFit="0" vertical="bottom" wrapText="0"/>
    </xf>
    <xf borderId="8" fillId="2" fontId="23" numFmtId="10" xfId="0" applyAlignment="1" applyBorder="1" applyFont="1" applyNumberFormat="1">
      <alignment horizontal="center" readingOrder="0"/>
    </xf>
    <xf borderId="1" fillId="0" fontId="34" numFmtId="0" xfId="0" applyAlignment="1" applyBorder="1" applyFont="1">
      <alignment horizontal="center" readingOrder="0" shrinkToFit="0" wrapText="1"/>
    </xf>
    <xf borderId="1" fillId="0" fontId="28" numFmtId="0" xfId="0" applyAlignment="1" applyBorder="1" applyFont="1">
      <alignment readingOrder="0" shrinkToFit="0" wrapText="1"/>
    </xf>
    <xf borderId="5" fillId="9" fontId="17" numFmtId="0" xfId="0" applyAlignment="1" applyBorder="1" applyFont="1">
      <alignment horizontal="center" readingOrder="0" shrinkToFit="0" vertical="bottom" wrapText="1"/>
    </xf>
    <xf borderId="8" fillId="10" fontId="35" numFmtId="0" xfId="0" applyAlignment="1" applyBorder="1" applyFont="1">
      <alignment horizontal="center" vertical="bottom"/>
    </xf>
    <xf borderId="9" fillId="10" fontId="35" numFmtId="0" xfId="0" applyAlignment="1" applyBorder="1" applyFont="1">
      <alignment horizontal="center" vertical="bottom"/>
    </xf>
    <xf borderId="9" fillId="10" fontId="35" numFmtId="0" xfId="0" applyAlignment="1" applyBorder="1" applyFont="1">
      <alignment horizontal="center" shrinkToFit="0" vertical="bottom" wrapText="1"/>
    </xf>
    <xf borderId="9" fillId="10" fontId="35" numFmtId="3" xfId="0" applyAlignment="1" applyBorder="1" applyFont="1" applyNumberFormat="1">
      <alignment horizontal="center" shrinkToFit="0" vertical="bottom" wrapText="1"/>
    </xf>
    <xf borderId="9" fillId="10" fontId="35" numFmtId="0" xfId="0" applyAlignment="1" applyBorder="1" applyFont="1">
      <alignment horizontal="center" readingOrder="0" shrinkToFit="0" vertical="bottom" wrapText="1"/>
    </xf>
    <xf borderId="5" fillId="10" fontId="35" numFmtId="0" xfId="0" applyAlignment="1" applyBorder="1" applyFont="1">
      <alignment horizontal="center" shrinkToFit="0" vertical="bottom" wrapText="1"/>
    </xf>
    <xf borderId="8" fillId="10" fontId="35" numFmtId="0" xfId="0" applyAlignment="1" applyBorder="1" applyFont="1">
      <alignment horizontal="center" shrinkToFit="0" vertical="bottom" wrapText="1"/>
    </xf>
    <xf borderId="9" fillId="10" fontId="1" numFmtId="0" xfId="0" applyAlignment="1" applyBorder="1" applyFont="1">
      <alignment vertical="bottom"/>
    </xf>
    <xf borderId="1" fillId="0" fontId="2" numFmtId="168" xfId="0" applyAlignment="1" applyBorder="1" applyFont="1" applyNumberFormat="1">
      <alignment horizontal="center"/>
    </xf>
    <xf borderId="8" fillId="10" fontId="20" numFmtId="0" xfId="0" applyAlignment="1" applyBorder="1" applyFont="1">
      <alignment horizontal="center" vertical="bottom"/>
    </xf>
    <xf borderId="8" fillId="10" fontId="1" numFmtId="0" xfId="0" applyAlignment="1" applyBorder="1" applyFont="1">
      <alignment vertical="bottom"/>
    </xf>
    <xf borderId="0" fillId="10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1" fillId="5" fontId="21" numFmtId="0" xfId="0" applyAlignment="1" applyBorder="1" applyFont="1">
      <alignment horizontal="center" readingOrder="0" shrinkToFit="0" wrapText="1"/>
    </xf>
    <xf borderId="1" fillId="5" fontId="8" numFmtId="0" xfId="0" applyAlignment="1" applyBorder="1" applyFont="1">
      <alignment readingOrder="0" shrinkToFit="0" vertical="bottom" wrapText="0"/>
    </xf>
    <xf borderId="1" fillId="5" fontId="28" numFmtId="0" xfId="0" applyAlignment="1" applyBorder="1" applyFont="1">
      <alignment readingOrder="0" shrinkToFit="0" wrapText="1"/>
    </xf>
    <xf borderId="1" fillId="5" fontId="21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shrinkToFit="0" vertical="bottom" wrapText="0"/>
    </xf>
    <xf borderId="1" fillId="0" fontId="36" numFmtId="0" xfId="0" applyAlignment="1" applyBorder="1" applyFont="1">
      <alignment horizontal="center" readingOrder="0" shrinkToFit="0" wrapText="0"/>
    </xf>
    <xf borderId="1" fillId="5" fontId="8" numFmtId="0" xfId="0" applyAlignment="1" applyBorder="1" applyFont="1">
      <alignment horizontal="center" readingOrder="0" shrinkToFit="0" wrapText="0"/>
    </xf>
    <xf borderId="1" fillId="5" fontId="8" numFmtId="3" xfId="0" applyAlignment="1" applyBorder="1" applyFont="1" applyNumberFormat="1">
      <alignment horizontal="center" readingOrder="0" shrinkToFit="0" vertical="bottom" wrapText="0"/>
    </xf>
    <xf borderId="1" fillId="0" fontId="37" numFmtId="0" xfId="0" applyAlignment="1" applyBorder="1" applyFont="1">
      <alignment horizontal="center" readingOrder="0" shrinkToFit="0" wrapText="0"/>
    </xf>
    <xf borderId="1" fillId="5" fontId="8" numFmtId="3" xfId="0" applyAlignment="1" applyBorder="1" applyFont="1" applyNumberFormat="1">
      <alignment readingOrder="0" shrinkToFit="0" vertical="bottom" wrapText="0"/>
    </xf>
    <xf borderId="4" fillId="5" fontId="8" numFmtId="3" xfId="0" applyAlignment="1" applyBorder="1" applyFont="1" applyNumberFormat="1">
      <alignment readingOrder="0" shrinkToFit="0" vertical="bottom" wrapText="0"/>
    </xf>
    <xf borderId="8" fillId="5" fontId="23" numFmtId="0" xfId="0" applyAlignment="1" applyBorder="1" applyFont="1">
      <alignment horizontal="center" readingOrder="0"/>
    </xf>
    <xf borderId="8" fillId="5" fontId="23" numFmtId="9" xfId="0" applyAlignment="1" applyBorder="1" applyFont="1" applyNumberFormat="1">
      <alignment horizontal="center" readingOrder="0"/>
    </xf>
    <xf borderId="8" fillId="5" fontId="38" numFmtId="0" xfId="0" applyAlignment="1" applyBorder="1" applyFont="1">
      <alignment horizontal="center" readingOrder="0"/>
    </xf>
    <xf borderId="8" fillId="5" fontId="26" numFmtId="0" xfId="0" applyAlignment="1" applyBorder="1" applyFont="1">
      <alignment horizontal="center" readingOrder="0"/>
    </xf>
    <xf borderId="0" fillId="5" fontId="26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8" fillId="5" fontId="8" numFmtId="3" xfId="0" applyAlignment="1" applyBorder="1" applyFont="1" applyNumberFormat="1">
      <alignment readingOrder="0" shrinkToFit="0" vertical="bottom" wrapText="0"/>
    </xf>
    <xf borderId="1" fillId="7" fontId="8" numFmtId="0" xfId="0" applyAlignment="1" applyBorder="1" applyFont="1">
      <alignment readingOrder="0" shrinkToFit="0" vertical="bottom" wrapText="0"/>
    </xf>
    <xf borderId="1" fillId="7" fontId="28" numFmtId="0" xfId="0" applyAlignment="1" applyBorder="1" applyFont="1">
      <alignment readingOrder="0" shrinkToFit="0" wrapText="1"/>
    </xf>
    <xf borderId="1" fillId="3" fontId="21" numFmtId="0" xfId="0" applyAlignment="1" applyBorder="1" applyFont="1">
      <alignment horizontal="center" readingOrder="0"/>
    </xf>
    <xf borderId="1" fillId="3" fontId="8" numFmtId="3" xfId="0" applyAlignment="1" applyBorder="1" applyFont="1" applyNumberFormat="1">
      <alignment horizontal="center" readingOrder="0" shrinkToFit="0" vertical="bottom" wrapText="0"/>
    </xf>
    <xf borderId="1" fillId="3" fontId="8" numFmtId="3" xfId="0" applyAlignment="1" applyBorder="1" applyFont="1" applyNumberFormat="1">
      <alignment readingOrder="0" shrinkToFit="0" vertical="bottom" wrapText="0"/>
    </xf>
    <xf borderId="8" fillId="3" fontId="8" numFmtId="3" xfId="0" applyAlignment="1" applyBorder="1" applyFont="1" applyNumberFormat="1">
      <alignment readingOrder="0" shrinkToFit="0" vertical="bottom" wrapText="0"/>
    </xf>
    <xf borderId="8" fillId="3" fontId="23" numFmtId="0" xfId="0" applyAlignment="1" applyBorder="1" applyFont="1">
      <alignment horizontal="center" readingOrder="0"/>
    </xf>
    <xf borderId="8" fillId="3" fontId="39" numFmtId="0" xfId="0" applyAlignment="1" applyBorder="1" applyFont="1">
      <alignment horizontal="center" readingOrder="0"/>
    </xf>
    <xf borderId="1" fillId="0" fontId="8" numFmtId="3" xfId="0" applyAlignment="1" applyBorder="1" applyFont="1" applyNumberFormat="1">
      <alignment horizontal="center" readingOrder="0" shrinkToFit="0" wrapText="0"/>
    </xf>
    <xf borderId="1" fillId="0" fontId="14" numFmtId="168" xfId="0" applyAlignment="1" applyBorder="1" applyFont="1" applyNumberFormat="1">
      <alignment horizontal="center"/>
    </xf>
    <xf borderId="1" fillId="3" fontId="8" numFmtId="3" xfId="0" applyAlignment="1" applyBorder="1" applyFont="1" applyNumberFormat="1">
      <alignment horizontal="center" readingOrder="0" shrinkToFit="0" wrapText="0"/>
    </xf>
    <xf borderId="1" fillId="3" fontId="23" numFmtId="10" xfId="0" applyAlignment="1" applyBorder="1" applyFont="1" applyNumberFormat="1">
      <alignment horizontal="center" readingOrder="0"/>
    </xf>
    <xf borderId="1" fillId="0" fontId="40" numFmtId="0" xfId="0" applyAlignment="1" applyBorder="1" applyFont="1">
      <alignment horizontal="center"/>
    </xf>
    <xf quotePrefix="1" borderId="1" fillId="0" fontId="40" numFmtId="0" xfId="0" applyAlignment="1" applyBorder="1" applyFont="1">
      <alignment horizontal="center"/>
    </xf>
    <xf borderId="1" fillId="0" fontId="14" numFmtId="0" xfId="0" applyBorder="1" applyFont="1"/>
    <xf borderId="1" fillId="0" fontId="41" numFmtId="0" xfId="0" applyAlignment="1" applyBorder="1" applyFont="1">
      <alignment horizontal="center"/>
    </xf>
    <xf borderId="0" fillId="3" fontId="1" numFmtId="169" xfId="0" applyAlignment="1" applyFont="1" applyNumberFormat="1">
      <alignment readingOrder="0" vertical="bottom"/>
    </xf>
    <xf borderId="1" fillId="0" fontId="42" numFmtId="0" xfId="0" applyAlignment="1" applyBorder="1" applyFont="1">
      <alignment horizontal="center"/>
    </xf>
    <xf borderId="1" fillId="0" fontId="43" numFmtId="0" xfId="0" applyAlignment="1" applyBorder="1" applyFont="1">
      <alignment horizontal="center"/>
    </xf>
    <xf borderId="1" fillId="0" fontId="4" numFmtId="3" xfId="0" applyAlignment="1" applyBorder="1" applyFont="1" applyNumberFormat="1">
      <alignment horizontal="center"/>
    </xf>
    <xf borderId="1" fillId="0" fontId="44" numFmtId="0" xfId="0" applyAlignment="1" applyBorder="1" applyFont="1">
      <alignment horizontal="center"/>
    </xf>
    <xf borderId="8" fillId="0" fontId="23" numFmtId="3" xfId="0" applyAlignment="1" applyBorder="1" applyFont="1" applyNumberFormat="1">
      <alignment horizontal="center" readingOrder="0"/>
    </xf>
    <xf borderId="1" fillId="2" fontId="40" numFmtId="0" xfId="0" applyAlignment="1" applyBorder="1" applyFont="1">
      <alignment horizontal="center"/>
    </xf>
    <xf borderId="1" fillId="2" fontId="4" numFmtId="3" xfId="0" applyAlignment="1" applyBorder="1" applyFont="1" applyNumberFormat="1">
      <alignment horizontal="center"/>
    </xf>
    <xf borderId="1" fillId="2" fontId="45" numFmtId="0" xfId="0" applyAlignment="1" applyBorder="1" applyFont="1">
      <alignment horizontal="center"/>
    </xf>
    <xf borderId="1" fillId="0" fontId="2" numFmtId="170" xfId="0" applyAlignment="1" applyBorder="1" applyFont="1" applyNumberFormat="1">
      <alignment horizontal="center" vertical="bottom"/>
    </xf>
    <xf borderId="1" fillId="0" fontId="2" numFmtId="171" xfId="0" applyAlignment="1" applyBorder="1" applyFont="1" applyNumberFormat="1">
      <alignment horizontal="center" vertical="bottom"/>
    </xf>
    <xf borderId="1" fillId="0" fontId="46" numFmtId="0" xfId="0" applyAlignment="1" applyBorder="1" applyFont="1">
      <alignment horizontal="center" vertical="bottom"/>
    </xf>
    <xf borderId="1" fillId="2" fontId="47" numFmtId="0" xfId="0" applyAlignment="1" applyBorder="1" applyFont="1">
      <alignment horizontal="center" vertical="bottom"/>
    </xf>
    <xf borderId="1" fillId="0" fontId="48" numFmtId="0" xfId="0" applyAlignment="1" applyBorder="1" applyFont="1">
      <alignment horizontal="center" vertical="bottom"/>
    </xf>
    <xf borderId="1" fillId="2" fontId="47" numFmtId="170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2" fontId="49" numFmtId="171" xfId="0" applyAlignment="1" applyBorder="1" applyFont="1" applyNumberFormat="1">
      <alignment horizontal="center" vertical="bottom"/>
    </xf>
    <xf borderId="10" fillId="11" fontId="21" numFmtId="0" xfId="0" applyAlignment="1" applyBorder="1" applyFill="1" applyFont="1">
      <alignment horizontal="center" readingOrder="0" shrinkToFit="0" wrapText="1"/>
    </xf>
    <xf borderId="1" fillId="11" fontId="8" numFmtId="0" xfId="0" applyAlignment="1" applyBorder="1" applyFont="1">
      <alignment readingOrder="0" shrinkToFit="0" vertical="bottom" wrapText="0"/>
    </xf>
    <xf borderId="1" fillId="11" fontId="28" numFmtId="0" xfId="0" applyAlignment="1" applyBorder="1" applyFont="1">
      <alignment readingOrder="0" shrinkToFit="0" wrapText="1"/>
    </xf>
    <xf borderId="1" fillId="2" fontId="50" numFmtId="0" xfId="0" applyAlignment="1" applyBorder="1" applyFont="1">
      <alignment horizontal="center" vertical="bottom"/>
    </xf>
    <xf borderId="8" fillId="11" fontId="21" numFmtId="0" xfId="0" applyAlignment="1" applyBorder="1" applyFont="1">
      <alignment horizontal="center" readingOrder="0"/>
    </xf>
    <xf borderId="1" fillId="11" fontId="8" numFmtId="0" xfId="0" applyAlignment="1" applyBorder="1" applyFont="1">
      <alignment horizontal="center" readingOrder="0" shrinkToFit="0" vertical="bottom" wrapText="0"/>
    </xf>
    <xf borderId="1" fillId="11" fontId="8" numFmtId="0" xfId="0" applyAlignment="1" applyBorder="1" applyFont="1">
      <alignment horizontal="center" readingOrder="0" shrinkToFit="0" wrapText="0"/>
    </xf>
    <xf borderId="1" fillId="11" fontId="8" numFmtId="3" xfId="0" applyAlignment="1" applyBorder="1" applyFont="1" applyNumberFormat="1">
      <alignment horizontal="center" readingOrder="0" shrinkToFit="0" wrapText="0"/>
    </xf>
    <xf borderId="1" fillId="11" fontId="3" numFmtId="3" xfId="0" applyAlignment="1" applyBorder="1" applyFont="1" applyNumberFormat="1">
      <alignment horizontal="center" readingOrder="0" shrinkToFit="0" wrapText="0"/>
    </xf>
    <xf borderId="8" fillId="11" fontId="23" numFmtId="0" xfId="0" applyAlignment="1" applyBorder="1" applyFont="1">
      <alignment horizontal="center" readingOrder="0"/>
    </xf>
    <xf borderId="8" fillId="11" fontId="26" numFmtId="0" xfId="0" applyAlignment="1" applyBorder="1" applyFont="1">
      <alignment horizontal="center" readingOrder="0"/>
    </xf>
    <xf borderId="8" fillId="11" fontId="23" numFmtId="3" xfId="0" applyAlignment="1" applyBorder="1" applyFont="1" applyNumberFormat="1">
      <alignment horizontal="center" readingOrder="0"/>
    </xf>
    <xf borderId="8" fillId="11" fontId="51" numFmtId="0" xfId="0" applyAlignment="1" applyBorder="1" applyFont="1">
      <alignment horizontal="center" readingOrder="0"/>
    </xf>
    <xf borderId="0" fillId="11" fontId="1" numFmtId="0" xfId="0" applyAlignment="1" applyFont="1">
      <alignment readingOrder="0" vertical="bottom"/>
    </xf>
    <xf borderId="1" fillId="2" fontId="49" numFmtId="3" xfId="0" applyAlignment="1" applyBorder="1" applyFont="1" applyNumberFormat="1">
      <alignment horizontal="center" vertical="bottom"/>
    </xf>
    <xf borderId="0" fillId="11" fontId="1" numFmtId="0" xfId="0" applyAlignment="1" applyFont="1">
      <alignment vertical="bottom"/>
    </xf>
    <xf borderId="0" fillId="11" fontId="14" numFmtId="0" xfId="0" applyFont="1"/>
    <xf borderId="1" fillId="11" fontId="8" numFmtId="168" xfId="0" applyAlignment="1" applyBorder="1" applyFont="1" applyNumberFormat="1">
      <alignment horizontal="center" readingOrder="0" shrinkToFit="0" vertical="bottom" wrapText="0"/>
    </xf>
    <xf borderId="1" fillId="0" fontId="47" numFmtId="0" xfId="0" applyAlignment="1" applyBorder="1" applyFont="1">
      <alignment horizontal="center" vertical="bottom"/>
    </xf>
    <xf borderId="1" fillId="0" fontId="52" numFmtId="0" xfId="0" applyAlignment="1" applyBorder="1" applyFont="1">
      <alignment horizontal="center" vertical="bottom"/>
    </xf>
    <xf borderId="1" fillId="0" fontId="47" numFmtId="170" xfId="0" applyAlignment="1" applyBorder="1" applyFont="1" applyNumberFormat="1">
      <alignment horizontal="center" vertical="bottom"/>
    </xf>
    <xf borderId="1" fillId="0" fontId="49" numFmtId="171" xfId="0" applyAlignment="1" applyBorder="1" applyFont="1" applyNumberFormat="1">
      <alignment horizontal="center" vertical="bottom"/>
    </xf>
    <xf borderId="1" fillId="0" fontId="49" numFmtId="0" xfId="0" applyAlignment="1" applyBorder="1" applyFont="1">
      <alignment horizontal="center" vertical="bottom"/>
    </xf>
    <xf borderId="8" fillId="3" fontId="23" numFmtId="3" xfId="0" applyAlignment="1" applyBorder="1" applyFont="1" applyNumberFormat="1">
      <alignment horizontal="center" readingOrder="0"/>
    </xf>
    <xf borderId="1" fillId="0" fontId="49" numFmtId="3" xfId="0" applyAlignment="1" applyBorder="1" applyFont="1" applyNumberFormat="1">
      <alignment horizontal="center" vertical="bottom"/>
    </xf>
    <xf borderId="1" fillId="0" fontId="2" numFmtId="171" xfId="0" applyAlignment="1" applyBorder="1" applyFont="1" applyNumberFormat="1">
      <alignment horizontal="center" readingOrder="0" vertical="bottom"/>
    </xf>
    <xf borderId="1" fillId="0" fontId="9" numFmtId="3" xfId="0" applyAlignment="1" applyBorder="1" applyFont="1" applyNumberFormat="1">
      <alignment horizontal="center" vertical="bottom"/>
    </xf>
    <xf borderId="1" fillId="2" fontId="48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47" numFmtId="0" xfId="0" applyAlignment="1" applyBorder="1" applyFont="1">
      <alignment horizontal="center" vertical="bottom"/>
    </xf>
    <xf borderId="1" fillId="5" fontId="53" numFmtId="0" xfId="0" applyAlignment="1" applyBorder="1" applyFont="1">
      <alignment horizontal="center" vertical="bottom"/>
    </xf>
    <xf borderId="1" fillId="5" fontId="47" numFmtId="170" xfId="0" applyAlignment="1" applyBorder="1" applyFont="1" applyNumberFormat="1">
      <alignment horizontal="center" vertical="bottom"/>
    </xf>
    <xf borderId="1" fillId="5" fontId="49" numFmtId="171" xfId="0" applyAlignment="1" applyBorder="1" applyFont="1" applyNumberFormat="1">
      <alignment horizontal="center" vertical="bottom"/>
    </xf>
    <xf borderId="1" fillId="5" fontId="49" numFmtId="0" xfId="0" applyAlignment="1" applyBorder="1" applyFont="1">
      <alignment horizontal="center" vertical="bottom"/>
    </xf>
    <xf borderId="1" fillId="2" fontId="2" numFmtId="170" xfId="0" applyAlignment="1" applyBorder="1" applyFont="1" applyNumberFormat="1">
      <alignment horizontal="center" vertical="bottom"/>
    </xf>
    <xf borderId="1" fillId="2" fontId="9" numFmtId="171" xfId="0" applyAlignment="1" applyBorder="1" applyFont="1" applyNumberFormat="1">
      <alignment horizontal="center" vertical="bottom"/>
    </xf>
    <xf quotePrefix="1" borderId="1" fillId="5" fontId="8" numFmtId="0" xfId="0" applyAlignment="1" applyBorder="1" applyFont="1">
      <alignment horizontal="center" readingOrder="0" shrinkToFit="0" vertical="bottom" wrapText="0"/>
    </xf>
    <xf borderId="1" fillId="5" fontId="8" numFmtId="3" xfId="0" applyAlignment="1" applyBorder="1" applyFont="1" applyNumberFormat="1">
      <alignment horizontal="right" readingOrder="0" shrinkToFit="0" vertical="bottom" wrapText="0"/>
    </xf>
    <xf borderId="1" fillId="5" fontId="28" numFmtId="0" xfId="0" applyAlignment="1" applyBorder="1" applyFont="1">
      <alignment horizontal="center" readingOrder="0" shrinkToFit="0" wrapText="1"/>
    </xf>
    <xf borderId="1" fillId="5" fontId="54" numFmtId="0" xfId="0" applyAlignment="1" applyBorder="1" applyFont="1">
      <alignment readingOrder="0" shrinkToFit="0" vertical="bottom" wrapText="0"/>
    </xf>
    <xf borderId="1" fillId="5" fontId="2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 shrinkToFit="0" vertical="bottom" wrapText="0"/>
    </xf>
    <xf borderId="0" fillId="5" fontId="55" numFmtId="0" xfId="0" applyAlignment="1" applyFont="1">
      <alignment horizontal="center" readingOrder="0"/>
    </xf>
    <xf borderId="1" fillId="5" fontId="54" numFmtId="0" xfId="0" applyAlignment="1" applyBorder="1" applyFont="1">
      <alignment horizontal="center" readingOrder="0" shrinkToFit="0" vertical="bottom" wrapText="0"/>
    </xf>
    <xf borderId="1" fillId="5" fontId="54" numFmtId="3" xfId="0" applyAlignment="1" applyBorder="1" applyFont="1" applyNumberFormat="1">
      <alignment horizontal="center" readingOrder="0" shrinkToFit="0" vertical="bottom" wrapText="0"/>
    </xf>
    <xf borderId="8" fillId="5" fontId="54" numFmtId="3" xfId="0" applyAlignment="1" applyBorder="1" applyFont="1" applyNumberFormat="1">
      <alignment readingOrder="0" shrinkToFit="0" vertical="bottom" wrapText="0"/>
    </xf>
    <xf borderId="8" fillId="5" fontId="56" numFmtId="0" xfId="0" applyAlignment="1" applyBorder="1" applyFont="1">
      <alignment horizontal="center" readingOrder="0"/>
    </xf>
    <xf borderId="8" fillId="5" fontId="54" numFmtId="0" xfId="0" applyAlignment="1" applyBorder="1" applyFont="1">
      <alignment horizontal="center" readingOrder="0"/>
    </xf>
    <xf borderId="0" fillId="5" fontId="54" numFmtId="0" xfId="0" applyAlignment="1" applyFont="1">
      <alignment horizontal="center" readingOrder="0"/>
    </xf>
    <xf borderId="0" fillId="0" fontId="40" numFmtId="0" xfId="0" applyAlignment="1" applyFont="1">
      <alignment vertical="bottom"/>
    </xf>
    <xf borderId="0" fillId="0" fontId="40" numFmtId="0" xfId="0" applyFont="1"/>
    <xf borderId="7" fillId="10" fontId="35" numFmtId="0" xfId="0" applyAlignment="1" applyBorder="1" applyFont="1">
      <alignment horizontal="center" vertical="bottom"/>
    </xf>
    <xf borderId="1" fillId="2" fontId="49" numFmtId="0" xfId="0" applyAlignment="1" applyBorder="1" applyFont="1">
      <alignment horizontal="center" vertical="bottom"/>
    </xf>
    <xf borderId="1" fillId="10" fontId="20" numFmtId="0" xfId="0" applyAlignment="1" applyBorder="1" applyFont="1">
      <alignment horizontal="center" vertical="bottom"/>
    </xf>
    <xf borderId="1" fillId="10" fontId="1" numFmtId="0" xfId="0" applyAlignment="1" applyBorder="1" applyFont="1">
      <alignment vertical="bottom"/>
    </xf>
    <xf quotePrefix="1" borderId="1" fillId="0" fontId="47" numFmtId="0" xfId="0" applyAlignment="1" applyBorder="1" applyFont="1">
      <alignment horizontal="center" vertical="bottom"/>
    </xf>
    <xf borderId="6" fillId="2" fontId="55" numFmtId="0" xfId="0" applyAlignment="1" applyBorder="1" applyFont="1">
      <alignment horizontal="center" readingOrder="0" shrinkToFit="0" vertical="bottom" wrapText="1"/>
    </xf>
    <xf borderId="6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wrapText="0"/>
    </xf>
    <xf borderId="1" fillId="0" fontId="57" numFmtId="3" xfId="0" applyAlignment="1" applyBorder="1" applyFont="1" applyNumberFormat="1">
      <alignment horizontal="center" shrinkToFit="0" wrapText="0"/>
    </xf>
    <xf borderId="5" fillId="0" fontId="55" numFmtId="0" xfId="0" applyAlignment="1" applyBorder="1" applyFont="1">
      <alignment horizontal="center" readingOrder="0" shrinkToFit="0" vertical="bottom" wrapText="1"/>
    </xf>
    <xf borderId="1" fillId="0" fontId="58" numFmtId="0" xfId="0" applyAlignment="1" applyBorder="1" applyFont="1">
      <alignment horizontal="center" readingOrder="0" shrinkToFit="0" vertical="bottom" wrapText="1"/>
    </xf>
    <xf borderId="1" fillId="2" fontId="55" numFmtId="0" xfId="0" applyAlignment="1" applyBorder="1" applyFont="1">
      <alignment horizontal="center" readingOrder="0" shrinkToFit="0" vertical="bottom" wrapText="1"/>
    </xf>
    <xf borderId="0" fillId="2" fontId="55" numFmtId="0" xfId="0" applyAlignment="1" applyFont="1">
      <alignment readingOrder="0" vertical="bottom"/>
    </xf>
    <xf quotePrefix="1" borderId="1" fillId="2" fontId="47" numFmtId="0" xfId="0" applyAlignment="1" applyBorder="1" applyFont="1">
      <alignment horizontal="center" vertical="bottom"/>
    </xf>
    <xf borderId="0" fillId="2" fontId="55" numFmtId="0" xfId="0" applyAlignment="1" applyFont="1">
      <alignment vertical="bottom"/>
    </xf>
    <xf borderId="0" fillId="2" fontId="55" numFmtId="0" xfId="0" applyFont="1"/>
    <xf borderId="1" fillId="0" fontId="2" numFmtId="0" xfId="0" applyAlignment="1" applyBorder="1" applyFont="1">
      <alignment horizontal="center" readingOrder="0" shrinkToFit="0" vertical="bottom" wrapText="0"/>
    </xf>
    <xf borderId="1" fillId="0" fontId="57" numFmtId="3" xfId="0" applyAlignment="1" applyBorder="1" applyFont="1" applyNumberFormat="1">
      <alignment horizontal="center" readingOrder="0" shrinkToFit="0" wrapText="0"/>
    </xf>
    <xf borderId="6" fillId="3" fontId="55" numFmtId="0" xfId="0" applyAlignment="1" applyBorder="1" applyFont="1">
      <alignment horizontal="center" readingOrder="0" shrinkToFit="0" vertical="bottom" wrapText="1"/>
    </xf>
    <xf borderId="6" fillId="3" fontId="8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ont="1">
      <alignment horizontal="center" shrinkToFit="0" wrapText="0"/>
    </xf>
    <xf borderId="1" fillId="3" fontId="8" numFmtId="0" xfId="0" applyAlignment="1" applyBorder="1" applyFont="1">
      <alignment horizontal="center" shrinkToFit="0" vertical="bottom" wrapText="0"/>
    </xf>
    <xf borderId="1" fillId="3" fontId="57" numFmtId="3" xfId="0" applyAlignment="1" applyBorder="1" applyFont="1" applyNumberFormat="1">
      <alignment horizontal="center" readingOrder="0" shrinkToFit="0" wrapText="0"/>
    </xf>
    <xf borderId="5" fillId="3" fontId="55" numFmtId="0" xfId="0" applyAlignment="1" applyBorder="1" applyFont="1">
      <alignment horizontal="center" readingOrder="0" shrinkToFit="0" vertical="bottom" wrapText="1"/>
    </xf>
    <xf borderId="1" fillId="2" fontId="49" numFmtId="171" xfId="0" applyAlignment="1" applyBorder="1" applyFont="1" applyNumberFormat="1">
      <alignment horizontal="center" readingOrder="0" vertical="bottom"/>
    </xf>
    <xf borderId="1" fillId="3" fontId="55" numFmtId="0" xfId="0" applyAlignment="1" applyBorder="1" applyFont="1">
      <alignment horizontal="center" readingOrder="0" shrinkToFit="0" vertical="bottom" wrapText="1"/>
    </xf>
    <xf borderId="0" fillId="3" fontId="55" numFmtId="0" xfId="0" applyAlignment="1" applyFont="1">
      <alignment readingOrder="0" vertical="bottom"/>
    </xf>
    <xf borderId="0" fillId="3" fontId="55" numFmtId="0" xfId="0" applyAlignment="1" applyFont="1">
      <alignment vertical="bottom"/>
    </xf>
    <xf borderId="0" fillId="3" fontId="55" numFmtId="0" xfId="0" applyFont="1"/>
    <xf borderId="6" fillId="0" fontId="55" numFmtId="0" xfId="0" applyAlignment="1" applyBorder="1" applyFont="1">
      <alignment horizontal="center" readingOrder="0" shrinkToFit="0" vertical="bottom" wrapText="1"/>
    </xf>
    <xf borderId="1" fillId="0" fontId="59" numFmtId="0" xfId="0" applyAlignment="1" applyBorder="1" applyFont="1">
      <alignment horizontal="center" vertical="bottom"/>
    </xf>
    <xf borderId="1" fillId="0" fontId="55" numFmtId="0" xfId="0" applyAlignment="1" applyBorder="1" applyFont="1">
      <alignment horizontal="center" readingOrder="0" shrinkToFit="0" vertical="bottom" wrapText="1"/>
    </xf>
    <xf borderId="0" fillId="0" fontId="55" numFmtId="0" xfId="0" applyAlignment="1" applyFont="1">
      <alignment readingOrder="0" vertical="bottom"/>
    </xf>
    <xf borderId="0" fillId="0" fontId="55" numFmtId="0" xfId="0" applyAlignment="1" applyFont="1">
      <alignment vertical="bottom"/>
    </xf>
    <xf borderId="0" fillId="0" fontId="55" numFmtId="0" xfId="0" applyFont="1"/>
    <xf borderId="0" fillId="0" fontId="55" numFmtId="169" xfId="0" applyAlignment="1" applyFont="1" applyNumberFormat="1">
      <alignment readingOrder="0" vertical="bottom"/>
    </xf>
    <xf borderId="1" fillId="0" fontId="37" numFmtId="0" xfId="0" applyAlignment="1" applyBorder="1" applyFont="1">
      <alignment horizontal="center" readingOrder="0" shrinkToFit="0" vertical="bottom" wrapText="0"/>
    </xf>
    <xf borderId="1" fillId="3" fontId="60" numFmtId="0" xfId="0" applyAlignment="1" applyBorder="1" applyFont="1">
      <alignment horizontal="center" readingOrder="0" shrinkToFit="0" vertical="bottom" wrapText="1"/>
    </xf>
    <xf borderId="0" fillId="3" fontId="55" numFmtId="169" xfId="0" applyAlignment="1" applyFont="1" applyNumberFormat="1">
      <alignment readingOrder="0" vertical="bottom"/>
    </xf>
    <xf borderId="6" fillId="11" fontId="55" numFmtId="0" xfId="0" applyAlignment="1" applyBorder="1" applyFont="1">
      <alignment horizontal="center" readingOrder="0" shrinkToFit="0" vertical="bottom" wrapText="1"/>
    </xf>
    <xf borderId="6" fillId="11" fontId="8" numFmtId="0" xfId="0" applyAlignment="1" applyBorder="1" applyFont="1">
      <alignment horizontal="center" readingOrder="0" shrinkToFit="0" vertical="bottom" wrapText="0"/>
    </xf>
    <xf borderId="1" fillId="11" fontId="57" numFmtId="3" xfId="0" applyAlignment="1" applyBorder="1" applyFont="1" applyNumberFormat="1">
      <alignment horizontal="center" readingOrder="0" shrinkToFit="0" wrapText="0"/>
    </xf>
    <xf borderId="5" fillId="11" fontId="55" numFmtId="0" xfId="0" applyAlignment="1" applyBorder="1" applyFont="1">
      <alignment horizontal="center" readingOrder="0" shrinkToFit="0" vertical="bottom" wrapText="1"/>
    </xf>
    <xf borderId="1" fillId="11" fontId="61" numFmtId="0" xfId="0" applyAlignment="1" applyBorder="1" applyFont="1">
      <alignment horizontal="center" readingOrder="0" shrinkToFit="0" vertical="bottom" wrapText="1"/>
    </xf>
    <xf borderId="1" fillId="11" fontId="55" numFmtId="0" xfId="0" applyAlignment="1" applyBorder="1" applyFont="1">
      <alignment horizontal="center" readingOrder="0" shrinkToFit="0" vertical="bottom" wrapText="1"/>
    </xf>
    <xf borderId="0" fillId="11" fontId="55" numFmtId="0" xfId="0" applyAlignment="1" applyFont="1">
      <alignment readingOrder="0" vertical="bottom"/>
    </xf>
    <xf borderId="0" fillId="11" fontId="55" numFmtId="0" xfId="0" applyAlignment="1" applyFont="1">
      <alignment vertical="bottom"/>
    </xf>
    <xf borderId="0" fillId="11" fontId="55" numFmtId="0" xfId="0" applyFont="1"/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0"/>
    </xf>
    <xf borderId="1" fillId="0" fontId="37" numFmtId="0" xfId="0" applyAlignment="1" applyBorder="1" applyFont="1">
      <alignment horizontal="center" readingOrder="0" shrinkToFit="0" vertical="bottom" wrapText="1"/>
    </xf>
    <xf borderId="1" fillId="0" fontId="37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3" xfId="0" applyAlignment="1" applyBorder="1" applyFont="1" applyNumberFormat="1">
      <alignment horizontal="center" readingOrder="0" shrinkToFit="0" wrapText="0"/>
    </xf>
    <xf borderId="1" fillId="3" fontId="62" numFmtId="3" xfId="0" applyAlignment="1" applyBorder="1" applyFont="1" applyNumberFormat="1">
      <alignment horizontal="center" readingOrder="0"/>
    </xf>
    <xf borderId="1" fillId="3" fontId="55" numFmtId="0" xfId="0" applyAlignment="1" applyBorder="1" applyFont="1">
      <alignment horizontal="left" readingOrder="0" shrinkToFit="0" vertical="bottom" wrapText="1"/>
    </xf>
    <xf borderId="1" fillId="3" fontId="8" numFmtId="168" xfId="0" applyAlignment="1" applyBorder="1" applyFont="1" applyNumberFormat="1">
      <alignment horizontal="center" readingOrder="0" shrinkToFit="0" vertical="bottom" wrapText="0"/>
    </xf>
    <xf borderId="1" fillId="0" fontId="37" numFmtId="3" xfId="0" applyAlignment="1" applyBorder="1" applyFont="1" applyNumberFormat="1">
      <alignment horizontal="center" readingOrder="0" shrinkToFit="0" wrapText="0"/>
    </xf>
    <xf borderId="1" fillId="3" fontId="14" numFmtId="0" xfId="0" applyAlignment="1" applyBorder="1" applyFont="1">
      <alignment horizontal="center" readingOrder="0"/>
    </xf>
    <xf borderId="1" fillId="3" fontId="63" numFmtId="3" xfId="0" applyAlignment="1" applyBorder="1" applyFont="1" applyNumberFormat="1">
      <alignment horizontal="center" readingOrder="0"/>
    </xf>
    <xf borderId="5" fillId="3" fontId="23" numFmtId="0" xfId="0" applyAlignment="1" applyBorder="1" applyFont="1">
      <alignment horizontal="center" readingOrder="0"/>
    </xf>
    <xf borderId="1" fillId="0" fontId="55" numFmtId="0" xfId="0" applyAlignment="1" applyBorder="1" applyFont="1">
      <alignment horizontal="left" readingOrder="0" shrinkToFit="0" vertical="bottom" wrapText="1"/>
    </xf>
    <xf borderId="1" fillId="0" fontId="63" numFmtId="3" xfId="0" applyAlignment="1" applyBorder="1" applyFont="1" applyNumberFormat="1">
      <alignment horizontal="center" readingOrder="0"/>
    </xf>
    <xf borderId="1" fillId="3" fontId="23" numFmtId="0" xfId="0" applyAlignment="1" applyBorder="1" applyFont="1">
      <alignment horizontal="center" readingOrder="0"/>
    </xf>
    <xf borderId="6" fillId="2" fontId="55" numFmtId="0" xfId="0" applyAlignment="1" applyBorder="1" applyFont="1">
      <alignment horizontal="left" readingOrder="0" shrinkToFit="0" vertical="bottom" wrapText="1"/>
    </xf>
    <xf borderId="1" fillId="0" fontId="14" numFmtId="3" xfId="0" applyAlignment="1" applyBorder="1" applyFont="1" applyNumberFormat="1">
      <alignment horizontal="center" readingOrder="0"/>
    </xf>
    <xf borderId="6" fillId="0" fontId="14" numFmtId="0" xfId="0" applyAlignment="1" applyBorder="1" applyFont="1">
      <alignment horizontal="center" readingOrder="0"/>
    </xf>
    <xf borderId="6" fillId="0" fontId="8" numFmtId="0" xfId="0" applyAlignment="1" applyBorder="1" applyFont="1">
      <alignment horizontal="center" readingOrder="0" shrinkToFit="0" wrapText="0"/>
    </xf>
    <xf borderId="6" fillId="0" fontId="63" numFmtId="3" xfId="0" applyAlignment="1" applyBorder="1" applyFont="1" applyNumberFormat="1">
      <alignment horizontal="center" readingOrder="0"/>
    </xf>
    <xf borderId="1" fillId="0" fontId="23" numFmtId="0" xfId="0" applyAlignment="1" applyBorder="1" applyFont="1">
      <alignment horizontal="center" readingOrder="0"/>
    </xf>
    <xf borderId="6" fillId="3" fontId="55" numFmtId="0" xfId="0" applyAlignment="1" applyBorder="1" applyFont="1">
      <alignment horizontal="left" readingOrder="0" shrinkToFit="0" vertical="bottom" wrapText="1"/>
    </xf>
    <xf borderId="6" fillId="3" fontId="14" numFmtId="0" xfId="0" applyAlignment="1" applyBorder="1" applyFont="1">
      <alignment horizontal="center" readingOrder="0"/>
    </xf>
    <xf borderId="6" fillId="3" fontId="8" numFmtId="0" xfId="0" applyAlignment="1" applyBorder="1" applyFont="1">
      <alignment horizontal="center" readingOrder="0" shrinkToFit="0" wrapText="0"/>
    </xf>
    <xf borderId="6" fillId="3" fontId="63" numFmtId="3" xfId="0" applyAlignment="1" applyBorder="1" applyFont="1" applyNumberFormat="1">
      <alignment horizontal="center" readingOrder="0"/>
    </xf>
    <xf borderId="6" fillId="7" fontId="55" numFmtId="0" xfId="0" applyAlignment="1" applyBorder="1" applyFont="1">
      <alignment horizontal="left" readingOrder="0" shrinkToFit="0" vertical="bottom" wrapText="1"/>
    </xf>
    <xf borderId="6" fillId="7" fontId="55" numFmtId="0" xfId="0" applyAlignment="1" applyBorder="1" applyFont="1">
      <alignment horizontal="center" readingOrder="0" shrinkToFit="0" vertical="bottom" wrapText="1"/>
    </xf>
    <xf borderId="1" fillId="0" fontId="36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 readingOrder="0" shrinkToFit="0" vertical="bottom" wrapText="0"/>
    </xf>
    <xf borderId="6" fillId="7" fontId="8" numFmtId="0" xfId="0" applyAlignment="1" applyBorder="1" applyFont="1">
      <alignment horizontal="center" readingOrder="0" shrinkToFit="0" vertical="bottom" wrapText="0"/>
    </xf>
    <xf borderId="6" fillId="7" fontId="14" numFmtId="0" xfId="0" applyAlignment="1" applyBorder="1" applyFont="1">
      <alignment horizontal="center" readingOrder="0"/>
    </xf>
    <xf borderId="1" fillId="0" fontId="36" numFmtId="3" xfId="0" applyAlignment="1" applyBorder="1" applyFont="1" applyNumberFormat="1">
      <alignment horizontal="center" readingOrder="0"/>
    </xf>
    <xf borderId="6" fillId="7" fontId="8" numFmtId="0" xfId="0" applyAlignment="1" applyBorder="1" applyFont="1">
      <alignment horizontal="center" readingOrder="0" shrinkToFit="0" wrapText="0"/>
    </xf>
    <xf borderId="6" fillId="7" fontId="63" numFmtId="3" xfId="0" applyAlignment="1" applyBorder="1" applyFont="1" applyNumberFormat="1">
      <alignment horizontal="center" readingOrder="0"/>
    </xf>
    <xf borderId="5" fillId="7" fontId="55" numFmtId="0" xfId="0" applyAlignment="1" applyBorder="1" applyFont="1">
      <alignment horizontal="center" readingOrder="0" shrinkToFit="0" vertical="bottom" wrapText="1"/>
    </xf>
    <xf borderId="1" fillId="7" fontId="23" numFmtId="0" xfId="0" applyAlignment="1" applyBorder="1" applyFont="1">
      <alignment horizontal="center" readingOrder="0"/>
    </xf>
    <xf borderId="8" fillId="7" fontId="23" numFmtId="0" xfId="0" applyAlignment="1" applyBorder="1" applyFont="1">
      <alignment horizontal="center" readingOrder="0"/>
    </xf>
    <xf borderId="1" fillId="7" fontId="23" numFmtId="10" xfId="0" applyAlignment="1" applyBorder="1" applyFont="1" applyNumberFormat="1">
      <alignment horizontal="center" readingOrder="0"/>
    </xf>
    <xf borderId="1" fillId="7" fontId="64" numFmtId="0" xfId="0" applyAlignment="1" applyBorder="1" applyFont="1">
      <alignment horizontal="center" readingOrder="0" shrinkToFit="0" vertical="bottom" wrapText="1"/>
    </xf>
    <xf borderId="1" fillId="7" fontId="55" numFmtId="0" xfId="0" applyAlignment="1" applyBorder="1" applyFont="1">
      <alignment horizontal="center" readingOrder="0" shrinkToFit="0" vertical="bottom" wrapText="1"/>
    </xf>
    <xf borderId="0" fillId="7" fontId="1" numFmtId="0" xfId="0" applyAlignment="1" applyFont="1">
      <alignment readingOrder="0" vertical="bottom"/>
    </xf>
    <xf borderId="0" fillId="7" fontId="55" numFmtId="0" xfId="0" applyAlignment="1" applyFont="1">
      <alignment readingOrder="0" vertical="bottom"/>
    </xf>
    <xf borderId="0" fillId="7" fontId="55" numFmtId="0" xfId="0" applyAlignment="1" applyFont="1">
      <alignment vertical="bottom"/>
    </xf>
    <xf borderId="0" fillId="7" fontId="55" numFmtId="0" xfId="0" applyFont="1"/>
    <xf borderId="6" fillId="0" fontId="62" numFmtId="3" xfId="0" applyAlignment="1" applyBorder="1" applyFont="1" applyNumberFormat="1">
      <alignment horizontal="center" readingOrder="0"/>
    </xf>
    <xf borderId="6" fillId="3" fontId="8" numFmtId="168" xfId="0" applyAlignment="1" applyBorder="1" applyFont="1" applyNumberFormat="1">
      <alignment horizontal="center" readingOrder="0" shrinkToFit="0" vertical="bottom" wrapText="0"/>
    </xf>
    <xf borderId="6" fillId="3" fontId="65" numFmtId="3" xfId="0" applyAlignment="1" applyBorder="1" applyFont="1" applyNumberFormat="1">
      <alignment horizontal="center" readingOrder="0"/>
    </xf>
    <xf borderId="1" fillId="3" fontId="65" numFmtId="3" xfId="0" applyAlignment="1" applyBorder="1" applyFont="1" applyNumberFormat="1">
      <alignment horizontal="center" readingOrder="0"/>
    </xf>
    <xf borderId="1" fillId="0" fontId="36" numFmtId="0" xfId="0" applyAlignment="1" applyBorder="1" applyFont="1">
      <alignment horizontal="center" readingOrder="0" shrinkToFit="0" wrapText="0"/>
    </xf>
    <xf borderId="1" fillId="0" fontId="36" numFmtId="3" xfId="0" applyAlignment="1" applyBorder="1" applyFont="1" applyNumberFormat="1">
      <alignment horizontal="center" readingOrder="0" shrinkToFit="0" wrapText="0"/>
    </xf>
    <xf borderId="0" fillId="2" fontId="1" numFmtId="0" xfId="0" applyAlignment="1" applyFont="1">
      <alignment readingOrder="0" vertical="bottom"/>
    </xf>
    <xf borderId="7" fillId="10" fontId="19" numFmtId="0" xfId="0" applyAlignment="1" applyBorder="1" applyFont="1">
      <alignment horizontal="center" readingOrder="0" shrinkToFit="0" wrapText="1"/>
    </xf>
    <xf borderId="5" fillId="10" fontId="20" numFmtId="0" xfId="0" applyAlignment="1" applyBorder="1" applyFont="1">
      <alignment horizontal="center" readingOrder="0"/>
    </xf>
    <xf borderId="8" fillId="3" fontId="21" numFmtId="0" xfId="0" applyAlignment="1" applyBorder="1" applyFont="1">
      <alignment horizontal="center" readingOrder="0" shrinkToFit="0" wrapText="1"/>
    </xf>
    <xf borderId="0" fillId="3" fontId="21" numFmtId="0" xfId="0" applyAlignment="1" applyFont="1">
      <alignment horizontal="center" readingOrder="0" shrinkToFit="0" wrapText="1"/>
    </xf>
    <xf borderId="8" fillId="3" fontId="34" numFmtId="0" xfId="0" applyAlignment="1" applyBorder="1" applyFont="1">
      <alignment horizontal="center" readingOrder="0" shrinkToFit="0" wrapText="1"/>
    </xf>
    <xf borderId="0" fillId="3" fontId="34" numFmtId="0" xfId="0" applyAlignment="1" applyFont="1">
      <alignment horizontal="center" readingOrder="0" shrinkToFit="0" wrapText="1"/>
    </xf>
    <xf borderId="1" fillId="0" fontId="36" numFmtId="0" xfId="0" applyAlignment="1" applyBorder="1" applyFont="1">
      <alignment horizontal="center" readingOrder="0" shrinkToFit="0" vertical="bottom" wrapText="0"/>
    </xf>
    <xf borderId="1" fillId="0" fontId="36" numFmtId="3" xfId="0" applyAlignment="1" applyBorder="1" applyFont="1" applyNumberFormat="1">
      <alignment horizontal="center" readingOrder="0" shrinkToFit="0" vertical="bottom" wrapText="0"/>
    </xf>
    <xf borderId="1" fillId="0" fontId="2" numFmtId="3" xfId="0" applyAlignment="1" applyBorder="1" applyFont="1" applyNumberFormat="1">
      <alignment horizontal="center" readingOrder="0" shrinkToFit="0" vertical="bottom" wrapText="0"/>
    </xf>
    <xf borderId="8" fillId="3" fontId="66" numFmtId="0" xfId="0" applyAlignment="1" applyBorder="1" applyFont="1">
      <alignment horizontal="center" readingOrder="0" shrinkToFit="0" wrapText="1"/>
    </xf>
    <xf borderId="1" fillId="0" fontId="36" numFmtId="168" xfId="0" applyAlignment="1" applyBorder="1" applyFont="1" applyNumberFormat="1">
      <alignment horizontal="center" readingOrder="0" shrinkToFit="0" vertical="bottom" wrapText="0"/>
    </xf>
    <xf borderId="8" fillId="0" fontId="34" numFmtId="0" xfId="0" applyAlignment="1" applyBorder="1" applyFont="1">
      <alignment horizontal="center" readingOrder="0" shrinkToFit="0" wrapText="1"/>
    </xf>
    <xf borderId="8" fillId="0" fontId="21" numFmtId="0" xfId="0" applyAlignment="1" applyBorder="1" applyFont="1">
      <alignment horizontal="center" readingOrder="0" shrinkToFit="0" wrapText="1"/>
    </xf>
    <xf borderId="1" fillId="0" fontId="2" numFmtId="168" xfId="0" applyAlignment="1" applyBorder="1" applyFont="1" applyNumberFormat="1">
      <alignment horizontal="center" readingOrder="0" shrinkToFit="0" vertical="bottom" wrapText="0"/>
    </xf>
    <xf borderId="8" fillId="0" fontId="67" numFmtId="0" xfId="0" applyAlignment="1" applyBorder="1" applyFont="1">
      <alignment horizontal="center" readingOrder="0" shrinkToFit="0" wrapText="1"/>
    </xf>
    <xf borderId="0" fillId="0" fontId="34" numFmtId="0" xfId="0" applyAlignment="1" applyFont="1">
      <alignment horizontal="center" readingOrder="0" shrinkToFit="0" wrapText="1"/>
    </xf>
    <xf borderId="1" fillId="0" fontId="36" numFmtId="168" xfId="0" applyAlignment="1" applyBorder="1" applyFont="1" applyNumberFormat="1">
      <alignment horizontal="center" readingOrder="0" shrinkToFit="0" wrapText="0"/>
    </xf>
    <xf borderId="1" fillId="0" fontId="2" numFmtId="168" xfId="0" applyAlignment="1" applyBorder="1" applyFont="1" applyNumberFormat="1">
      <alignment horizontal="center" readingOrder="0" shrinkToFit="0" wrapText="0"/>
    </xf>
    <xf borderId="1" fillId="0" fontId="14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 shrinkToFit="0" wrapText="0"/>
    </xf>
    <xf borderId="1" fillId="0" fontId="68" numFmtId="0" xfId="0" applyAlignment="1" applyBorder="1" applyFont="1">
      <alignment horizontal="center" readingOrder="0" shrinkToFit="0" wrapText="1"/>
    </xf>
    <xf borderId="8" fillId="2" fontId="34" numFmtId="0" xfId="0" applyAlignment="1" applyBorder="1" applyFont="1">
      <alignment horizontal="center" readingOrder="0" shrinkToFit="0" wrapText="1"/>
    </xf>
    <xf borderId="0" fillId="2" fontId="69" numFmtId="0" xfId="0" applyFont="1"/>
    <xf borderId="0" fillId="2" fontId="70" numFmtId="0" xfId="0" applyAlignment="1" applyFont="1">
      <alignment horizontal="center" readingOrder="0"/>
    </xf>
    <xf borderId="0" fillId="10" fontId="55" numFmtId="0" xfId="0" applyAlignment="1" applyFont="1">
      <alignment readingOrder="0" vertical="bottom"/>
    </xf>
    <xf borderId="0" fillId="12" fontId="14" numFmtId="0" xfId="0" applyFill="1" applyFont="1"/>
    <xf borderId="0" fillId="12" fontId="69" numFmtId="0" xfId="0" applyFont="1"/>
    <xf borderId="0" fillId="12" fontId="70" numFmtId="0" xfId="0" applyAlignment="1" applyFont="1">
      <alignment horizontal="center" readingOrder="0"/>
    </xf>
    <xf borderId="0" fillId="2" fontId="71" numFmtId="0" xfId="0" applyAlignment="1" applyFont="1">
      <alignment horizontal="center" shrinkToFit="0" wrapText="1"/>
    </xf>
    <xf borderId="11" fillId="10" fontId="35" numFmtId="0" xfId="0" applyAlignment="1" applyBorder="1" applyFont="1">
      <alignment horizontal="center" shrinkToFit="0" vertical="bottom" wrapText="1"/>
    </xf>
    <xf borderId="12" fillId="10" fontId="35" numFmtId="0" xfId="0" applyAlignment="1" applyBorder="1" applyFont="1">
      <alignment horizontal="center" shrinkToFit="0" vertical="bottom" wrapText="1"/>
    </xf>
    <xf borderId="12" fillId="0" fontId="6" numFmtId="0" xfId="0" applyBorder="1" applyFont="1"/>
    <xf borderId="13" fillId="10" fontId="35" numFmtId="0" xfId="0" applyAlignment="1" applyBorder="1" applyFont="1">
      <alignment horizontal="center" shrinkToFit="0" vertical="bottom" wrapText="1"/>
    </xf>
    <xf borderId="13" fillId="10" fontId="20" numFmtId="0" xfId="0" applyAlignment="1" applyBorder="1" applyFont="1">
      <alignment horizontal="center" shrinkToFit="0" wrapText="1"/>
    </xf>
    <xf borderId="8" fillId="10" fontId="20" numFmtId="0" xfId="0" applyAlignment="1" applyBorder="1" applyFont="1">
      <alignment readingOrder="0"/>
    </xf>
    <xf borderId="0" fillId="2" fontId="1" numFmtId="0" xfId="0" applyAlignment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71" numFmtId="0" xfId="0" applyAlignment="1" applyBorder="1" applyFont="1">
      <alignment horizontal="center" vertical="bottom"/>
    </xf>
    <xf borderId="1" fillId="5" fontId="34" numFmtId="0" xfId="0" applyAlignment="1" applyBorder="1" applyFont="1">
      <alignment horizontal="center" readingOrder="0" shrinkToFit="0" wrapText="1"/>
    </xf>
    <xf borderId="1" fillId="5" fontId="72" numFmtId="10" xfId="0" applyAlignment="1" applyBorder="1" applyFont="1" applyNumberFormat="1">
      <alignment horizontal="center" readingOrder="0"/>
    </xf>
    <xf borderId="1" fillId="5" fontId="73" numFmtId="0" xfId="0" applyAlignment="1" applyBorder="1" applyFont="1">
      <alignment horizontal="center" vertical="bottom"/>
    </xf>
    <xf borderId="1" fillId="5" fontId="21" numFmtId="0" xfId="0" applyAlignment="1" applyBorder="1" applyFont="1">
      <alignment horizontal="center" readingOrder="0" shrinkToFit="0" vertical="bottom" wrapText="0"/>
    </xf>
    <xf borderId="0" fillId="5" fontId="21" numFmtId="0" xfId="0" applyAlignment="1" applyFont="1">
      <alignment horizontal="center" readingOrder="0" shrinkToFit="0" vertical="bottom" wrapText="0"/>
    </xf>
    <xf borderId="4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 vertical="bottom"/>
    </xf>
    <xf borderId="1" fillId="5" fontId="74" numFmtId="0" xfId="0" applyAlignment="1" applyBorder="1" applyFont="1">
      <alignment horizontal="center" readingOrder="0" vertical="bottom"/>
    </xf>
    <xf borderId="1" fillId="5" fontId="14" numFmtId="0" xfId="0" applyAlignment="1" applyBorder="1" applyFont="1">
      <alignment horizontal="center" readingOrder="0"/>
    </xf>
    <xf borderId="0" fillId="5" fontId="14" numFmtId="0" xfId="0" applyAlignment="1" applyFont="1">
      <alignment horizontal="center" readingOrder="0"/>
    </xf>
    <xf borderId="1" fillId="5" fontId="1" numFmtId="2" xfId="0" applyAlignment="1" applyBorder="1" applyFont="1" applyNumberFormat="1">
      <alignment horizontal="center" readingOrder="0" vertical="bottom"/>
    </xf>
    <xf borderId="4" fillId="2" fontId="1" numFmtId="0" xfId="0" applyAlignment="1" applyBorder="1" applyFont="1">
      <alignment horizontal="center" vertical="bottom"/>
    </xf>
    <xf borderId="1" fillId="2" fontId="7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34" numFmtId="0" xfId="0" applyAlignment="1" applyBorder="1" applyFont="1">
      <alignment horizontal="center" readingOrder="0" shrinkToFit="0" wrapText="1"/>
    </xf>
    <xf borderId="1" fillId="2" fontId="72" numFmtId="10" xfId="0" applyAlignment="1" applyBorder="1" applyFont="1" applyNumberFormat="1">
      <alignment horizontal="center" readingOrder="0"/>
    </xf>
    <xf borderId="1" fillId="2" fontId="75" numFmtId="0" xfId="0" applyAlignment="1" applyBorder="1" applyFont="1">
      <alignment horizontal="center" readingOrder="0" vertical="bottom"/>
    </xf>
    <xf borderId="4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13" fillId="3" fontId="1" numFmtId="0" xfId="0" applyAlignment="1" applyBorder="1" applyFont="1">
      <alignment horizontal="center" vertical="bottom"/>
    </xf>
    <xf borderId="13" fillId="3" fontId="71" numFmtId="0" xfId="0" applyAlignment="1" applyBorder="1" applyFont="1">
      <alignment horizontal="center" vertical="bottom"/>
    </xf>
    <xf borderId="1" fillId="3" fontId="34" numFmtId="0" xfId="0" applyAlignment="1" applyBorder="1" applyFont="1">
      <alignment horizontal="center" readingOrder="0" shrinkToFit="0" wrapText="1"/>
    </xf>
    <xf borderId="1" fillId="3" fontId="1" numFmtId="0" xfId="0" applyAlignment="1" applyBorder="1" applyFont="1">
      <alignment vertical="bottom"/>
    </xf>
    <xf borderId="0" fillId="0" fontId="1" numFmtId="0" xfId="0" applyAlignment="1" applyFont="1">
      <alignment horizontal="center" readingOrder="0" vertical="bottom"/>
    </xf>
    <xf borderId="0" fillId="2" fontId="34" numFmtId="0" xfId="0" applyAlignment="1" applyFont="1">
      <alignment horizontal="center" readingOrder="0" shrinkToFit="0" wrapText="1"/>
    </xf>
    <xf borderId="0" fillId="2" fontId="23" numFmtId="9" xfId="0" applyAlignment="1" applyFont="1" applyNumberFormat="1">
      <alignment horizontal="center" readingOrder="0"/>
    </xf>
    <xf borderId="0" fillId="0" fontId="69" numFmtId="0" xfId="0" applyFont="1"/>
    <xf borderId="0" fillId="2" fontId="8" numFmtId="0" xfId="0" applyAlignment="1" applyFont="1">
      <alignment horizontal="center" readingOrder="0" shrinkToFit="0" vertical="bottom" wrapText="0"/>
    </xf>
    <xf borderId="0" fillId="2" fontId="26" numFmtId="10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shrinkToFit="0" vertical="bottom" wrapText="0"/>
    </xf>
    <xf borderId="0" fillId="2" fontId="1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O35iuByqw5Ok3WFWz4KNcq7uMMFMYJZl?hl=vi" TargetMode="External"/><Relationship Id="rId42" Type="http://schemas.openxmlformats.org/officeDocument/2006/relationships/hyperlink" Target="https://drive.google.com/drive/folders/1aSv6XG-3BOaD4vB7ToDirch2QLkt5VGa?usp=drive_link" TargetMode="External"/><Relationship Id="rId41" Type="http://schemas.openxmlformats.org/officeDocument/2006/relationships/hyperlink" Target="https://drive.google.com/drive/folders/1GTIPxRRKXgNlqpecbZCIgRuZ2cBFQ2P8?usp=drive_link" TargetMode="External"/><Relationship Id="rId44" Type="http://schemas.openxmlformats.org/officeDocument/2006/relationships/hyperlink" Target="https://drive.google.com/drive/folders/1DPRulojS3CZEMk0nsZl6bxL-Vbh-soa0?usp=drive_link" TargetMode="External"/><Relationship Id="rId43" Type="http://schemas.openxmlformats.org/officeDocument/2006/relationships/hyperlink" Target="https://drive.google.com/drive/folders/1E7UCYB9mtu8Ef9_7A10ySwSIbKLzFxeu?usp=drive_link" TargetMode="External"/><Relationship Id="rId46" Type="http://schemas.openxmlformats.org/officeDocument/2006/relationships/hyperlink" Target="https://drive.google.com/drive/folders/1QXj7zTpqkSOQUESjiWOUQvoSJmqgwVY5?hl=vi" TargetMode="External"/><Relationship Id="rId45" Type="http://schemas.openxmlformats.org/officeDocument/2006/relationships/hyperlink" Target="https://drive.google.com/drive/folders/1ob4FA6G2E6GUrOUPioOtsLcPQAAUL3kS?usp=drive_link" TargetMode="External"/><Relationship Id="rId48" Type="http://schemas.openxmlformats.org/officeDocument/2006/relationships/hyperlink" Target="https://drive.google.com/drive/folders/1vvb3JDNVXx-1rRVssXwm6UukIzsMGqeu?hl=vi" TargetMode="External"/><Relationship Id="rId47" Type="http://schemas.openxmlformats.org/officeDocument/2006/relationships/hyperlink" Target="https://drive.google.com/drive/folders/16ZexraHrwO6zCul3_4PC6wYGpYRB2uRC?hl=vi" TargetMode="External"/><Relationship Id="rId49" Type="http://schemas.openxmlformats.org/officeDocument/2006/relationships/hyperlink" Target="https://drive.google.com/drive/folders/1vo1Mv-v9xHCnJPWm7f7Jjv2scse6WFNI?hl=vi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drive.google.com/drive/folders/17SSKAT8Al5K33gI_SpAo7uX6-V5UMeIx?hl=vi" TargetMode="External"/><Relationship Id="rId30" Type="http://schemas.openxmlformats.org/officeDocument/2006/relationships/hyperlink" Target="https://drive.google.com/drive/folders/1pzA19VJDn-NkcK6EDhuM3q6HwPOgf7Zs?hl=vi" TargetMode="External"/><Relationship Id="rId33" Type="http://schemas.openxmlformats.org/officeDocument/2006/relationships/hyperlink" Target="https://drive.google.com/drive/folders/1aujfMGny-mfQ_lTQQy8iFdIFVlRVBja9?hl=vi" TargetMode="External"/><Relationship Id="rId32" Type="http://schemas.openxmlformats.org/officeDocument/2006/relationships/hyperlink" Target="https://drive.google.com/drive/folders/1SnloQc6xcD155Sx1BEl0Ql-3mph7cPyq?hl=vi" TargetMode="External"/><Relationship Id="rId35" Type="http://schemas.openxmlformats.org/officeDocument/2006/relationships/hyperlink" Target="https://drive.google.com/drive/folders/1dYWqdOaXAIGwne0MlIzsEX381DNMqbU_?hl=vi" TargetMode="External"/><Relationship Id="rId34" Type="http://schemas.openxmlformats.org/officeDocument/2006/relationships/hyperlink" Target="https://drive.google.com/drive/folders/1fZgdBHOSBB2MSzTHqNC36KbIh4f16CWA?hl=vi" TargetMode="External"/><Relationship Id="rId37" Type="http://schemas.openxmlformats.org/officeDocument/2006/relationships/hyperlink" Target="https://drive.google.com/drive/folders/1WdXFiMHLmpjvDAowV5lzemSVhObHbY5J?hl=vi" TargetMode="External"/><Relationship Id="rId36" Type="http://schemas.openxmlformats.org/officeDocument/2006/relationships/hyperlink" Target="https://drive.google.com/drive/folders/1QSXbURKKbfWuoJXTaNzUp0HMWwVgUoWx?hl=vi" TargetMode="External"/><Relationship Id="rId39" Type="http://schemas.openxmlformats.org/officeDocument/2006/relationships/hyperlink" Target="https://drive.google.com/drive/folders/1Pxd0q4Zy7Fu1uof11M8_YG71Do9tTL-p?hl=vi" TargetMode="External"/><Relationship Id="rId38" Type="http://schemas.openxmlformats.org/officeDocument/2006/relationships/hyperlink" Target="https://drive.google.com/drive/folders/17Lo3CcJhZ7pIYsSbCSdAnb4dnfVzbmv5?hl=vi" TargetMode="External"/><Relationship Id="rId20" Type="http://schemas.openxmlformats.org/officeDocument/2006/relationships/hyperlink" Target="https://drive.google.com/drive/folders/1_UMGh7g7Gv2qM_AWyiV-k6GotzDuURsy?usp=drive_link" TargetMode="External"/><Relationship Id="rId22" Type="http://schemas.openxmlformats.org/officeDocument/2006/relationships/hyperlink" Target="https://drive.google.com/drive/folders/1XnD_utaTsxZlyWMb8KMknTQTCUTtQZPR?usp=drive_link" TargetMode="External"/><Relationship Id="rId21" Type="http://schemas.openxmlformats.org/officeDocument/2006/relationships/hyperlink" Target="https://drive.google.com/drive/folders/1w5yZd8n_zRzBgG2Y_9Bmde1Fqlc7pxhC?usp=drive_link" TargetMode="External"/><Relationship Id="rId24" Type="http://schemas.openxmlformats.org/officeDocument/2006/relationships/hyperlink" Target="https://drive.google.com/drive/folders/1v3qE5aPyCwMMQxY96oxyPl_YYNb_NHQg?usp=drive_link" TargetMode="External"/><Relationship Id="rId23" Type="http://schemas.openxmlformats.org/officeDocument/2006/relationships/hyperlink" Target="https://drive.google.com/drive/folders/1aUs11BmgVZi32gerWMPUxaSADzVYzYxX?usp=drive_link" TargetMode="External"/><Relationship Id="rId26" Type="http://schemas.openxmlformats.org/officeDocument/2006/relationships/hyperlink" Target="https://drive.google.com/drive/folders/1LrciJyruk01i_PEag_JDpU9z_o1a5fut" TargetMode="External"/><Relationship Id="rId25" Type="http://schemas.openxmlformats.org/officeDocument/2006/relationships/hyperlink" Target="https://drive.google.com/drive/folders/1OUc1shDTjRxGjAVUIMZ1H6fjf663I1wK?hl=vi" TargetMode="External"/><Relationship Id="rId28" Type="http://schemas.openxmlformats.org/officeDocument/2006/relationships/hyperlink" Target="https://drive.google.com/drive/folders/1UB8Nw3WYJYmDzA4jacBGbfDOZYj6Cr7R?usp=drive_link" TargetMode="External"/><Relationship Id="rId27" Type="http://schemas.openxmlformats.org/officeDocument/2006/relationships/hyperlink" Target="https://drive.google.com/drive/folders/1oVLWsrMe3AbCaAiggmajW4GsuO3t8aWf?usp=drive_link" TargetMode="External"/><Relationship Id="rId29" Type="http://schemas.openxmlformats.org/officeDocument/2006/relationships/hyperlink" Target="https://drive.google.com/drive/folders/1O_tEmZIKA_V77249fstM8R_QsoKhoVqR?hl=vi" TargetMode="External"/><Relationship Id="rId95" Type="http://schemas.openxmlformats.org/officeDocument/2006/relationships/hyperlink" Target="https://drive.google.com/drive/folders/1L1QsWOjcCU28W4KBXNO7YSiacS3Es2zA?hl=vi" TargetMode="External"/><Relationship Id="rId94" Type="http://schemas.openxmlformats.org/officeDocument/2006/relationships/hyperlink" Target="https://drive.google.com/drive/folders/1J18ecDBG3WREo7MoHBc1sFrHVTm1PoHw?hl=vi" TargetMode="External"/><Relationship Id="rId97" Type="http://schemas.openxmlformats.org/officeDocument/2006/relationships/hyperlink" Target="https://drive.google.com/drive/folders/1QEZiBbsu5j5FPnGF2SuWhBDKuHZyaPXE?hl=vi" TargetMode="External"/><Relationship Id="rId96" Type="http://schemas.openxmlformats.org/officeDocument/2006/relationships/hyperlink" Target="https://drive.google.com/drive/folders/1XfdDrO4wN3KSuOQG8L0gRLWl4GFBPtP0?hl=vi" TargetMode="External"/><Relationship Id="rId11" Type="http://schemas.openxmlformats.org/officeDocument/2006/relationships/hyperlink" Target="https://drive.google.com/drive/folders/1lz00kgoXwiXhIGfwHdpdj_W8e00XM-ca?hl=vi" TargetMode="External"/><Relationship Id="rId99" Type="http://schemas.openxmlformats.org/officeDocument/2006/relationships/hyperlink" Target="https://drive.google.com/drive/folders/1wYK2KsVxXOxCi6EjvL1-nN2aMr3pvR_O?hl=vi" TargetMode="External"/><Relationship Id="rId10" Type="http://schemas.openxmlformats.org/officeDocument/2006/relationships/hyperlink" Target="https://drive.google.com/drive/folders/1dda0HOUqlT3BY0cgv_8qADaTR5CuxUBc?hl=vi" TargetMode="External"/><Relationship Id="rId98" Type="http://schemas.openxmlformats.org/officeDocument/2006/relationships/hyperlink" Target="https://drive.google.com/drive/folders/1ix8PjrH7F-P3zBEm2bh3YUNUiG1dRXBC?hl=vi" TargetMode="External"/><Relationship Id="rId13" Type="http://schemas.openxmlformats.org/officeDocument/2006/relationships/hyperlink" Target="https://drive.google.com/drive/folders/1p4YKCy4DBKdBvgu75_F4DUBn96ydIt-0?usp=drive_link" TargetMode="External"/><Relationship Id="rId12" Type="http://schemas.openxmlformats.org/officeDocument/2006/relationships/hyperlink" Target="https://drive.google.com/drive/folders/1H2XXqo_iimWEu0YaT5Gksf7XALCujeFu?hl=vi" TargetMode="External"/><Relationship Id="rId91" Type="http://schemas.openxmlformats.org/officeDocument/2006/relationships/hyperlink" Target="https://drive.google.com/drive/folders/1vmYyEq0ZXtg7LaABL0ZWBqWbHaaEEpQQ?hl=vi" TargetMode="External"/><Relationship Id="rId90" Type="http://schemas.openxmlformats.org/officeDocument/2006/relationships/hyperlink" Target="https://drive.google.com/drive/folders/1NRSGsFAgTLFf7_4LrZpWfLz4EaW14XJK?hl=vi" TargetMode="External"/><Relationship Id="rId93" Type="http://schemas.openxmlformats.org/officeDocument/2006/relationships/hyperlink" Target="https://drive.google.com/drive/folders/1dbMgpiI-7c7WAwIyuSmhQGbDyZZBCq-R?hl=vi" TargetMode="External"/><Relationship Id="rId92" Type="http://schemas.openxmlformats.org/officeDocument/2006/relationships/hyperlink" Target="https://drive.google.com/drive/folders/1iOXcWyRDv5gCwlvZJFQwrGhQh70VsrI-?hl=vi" TargetMode="External"/><Relationship Id="rId15" Type="http://schemas.openxmlformats.org/officeDocument/2006/relationships/hyperlink" Target="https://drive.google.com/drive/folders/1j0yHBEMb4Psw3-Cqqo18180XiiA_-J3w?usp=drive_link" TargetMode="External"/><Relationship Id="rId14" Type="http://schemas.openxmlformats.org/officeDocument/2006/relationships/hyperlink" Target="https://drive.google.com/drive/folders/1qcvZ4eK7W-nCiBJtzMbYDTRfJEe3wVwm?usp=drive_link" TargetMode="External"/><Relationship Id="rId17" Type="http://schemas.openxmlformats.org/officeDocument/2006/relationships/hyperlink" Target="https://drive.google.com/drive/folders/1ppPKcIXiJ8fIpVLswSw88VbtiU6PF1Wz?usp=drive_link" TargetMode="External"/><Relationship Id="rId16" Type="http://schemas.openxmlformats.org/officeDocument/2006/relationships/hyperlink" Target="https://drive.google.com/drive/folders/1FBhkL23Lk5meu1YxqmP8-U7ROmh9C2ef?usp=drive_link" TargetMode="External"/><Relationship Id="rId19" Type="http://schemas.openxmlformats.org/officeDocument/2006/relationships/hyperlink" Target="https://drive.google.com/drive/folders/1tRkvaridssNHTr56kn2VAPRJp-xx5PGL?usp=drive_link" TargetMode="External"/><Relationship Id="rId18" Type="http://schemas.openxmlformats.org/officeDocument/2006/relationships/hyperlink" Target="https://drive.google.com/drive/folders/1ijyVyh5E8juPgJHF3KgRrugpaEEZme3k?usp=drive_link" TargetMode="External"/><Relationship Id="rId84" Type="http://schemas.openxmlformats.org/officeDocument/2006/relationships/hyperlink" Target="https://drive.google.com/drive/folders/1fC2Yy214JqLjoQXPcCzz3LM5IVkz4S3g?usp=drive_link" TargetMode="External"/><Relationship Id="rId83" Type="http://schemas.openxmlformats.org/officeDocument/2006/relationships/hyperlink" Target="https://drive.google.com/drive/folders/1Ak1JB1PxrOvL1dmpNBgtWrkc59esRF9s?usp=drive_link" TargetMode="External"/><Relationship Id="rId86" Type="http://schemas.openxmlformats.org/officeDocument/2006/relationships/hyperlink" Target="https://drive.google.com/drive/folders/133_QyEgf8WFf2-L-IvwsHku97xRmtuAd?usp=drive_link" TargetMode="External"/><Relationship Id="rId85" Type="http://schemas.openxmlformats.org/officeDocument/2006/relationships/hyperlink" Target="https://drive.google.com/drive/folders/1Ia_cFwpp2yfCX-iUkgyyMdr0AaL87O4h?usp=drive_link" TargetMode="External"/><Relationship Id="rId88" Type="http://schemas.openxmlformats.org/officeDocument/2006/relationships/hyperlink" Target="https://drive.google.com/drive/folders/1hhA56L9CPi241aOYDiYKFWnk0677k3Id?hl=vi" TargetMode="External"/><Relationship Id="rId87" Type="http://schemas.openxmlformats.org/officeDocument/2006/relationships/hyperlink" Target="https://drive.google.com/drive/folders/1JlFDdQ864eqdjIc8_vWpqJRph0mnrn0m?usp=drive_link" TargetMode="External"/><Relationship Id="rId89" Type="http://schemas.openxmlformats.org/officeDocument/2006/relationships/hyperlink" Target="https://drive.google.com/drive/folders/1X89sdod2oNH5yr2SQdhhzTnSLhvq3JAk?hl=vi" TargetMode="External"/><Relationship Id="rId80" Type="http://schemas.openxmlformats.org/officeDocument/2006/relationships/hyperlink" Target="https://drive.google.com/drive/folders/1PFFYBbVojepG60UGVvpkpck5F3BLcoap?usp=drive_link" TargetMode="External"/><Relationship Id="rId82" Type="http://schemas.openxmlformats.org/officeDocument/2006/relationships/hyperlink" Target="https://drive.google.com/drive/folders/1POB44RhrXgHxjhe6-qrDYglCdDBmC7hV?usp=drive_link" TargetMode="External"/><Relationship Id="rId81" Type="http://schemas.openxmlformats.org/officeDocument/2006/relationships/hyperlink" Target="https://drive.google.com/drive/folders/1HlBFSKrMg92xZlFVd0hYhDOT0GNrbLN8?usp=drive_link" TargetMode="External"/><Relationship Id="rId1" Type="http://schemas.openxmlformats.org/officeDocument/2006/relationships/hyperlink" Target="https://drive.google.com/drive/folders/1a7QaRhf_vFohcFUGnRyZsO0tGt5DOg_d?hl=vi" TargetMode="External"/><Relationship Id="rId2" Type="http://schemas.openxmlformats.org/officeDocument/2006/relationships/hyperlink" Target="https://drive.google.com/drive/folders/1GXWj_0UK_vYSV3WMR0-v1OFOfKQHh2TE?usp=drive_link" TargetMode="External"/><Relationship Id="rId3" Type="http://schemas.openxmlformats.org/officeDocument/2006/relationships/hyperlink" Target="https://drive.google.com/drive/folders/185PEB_azyTHlyu3TOFmM6zRFPyi5yMIG?usp=drive_link" TargetMode="External"/><Relationship Id="rId4" Type="http://schemas.openxmlformats.org/officeDocument/2006/relationships/hyperlink" Target="https://drive.google.com/drive/folders/1AnvBh7mwkPkNV76DCR8SZ7VtNukjtMNw?usp=drive_link" TargetMode="External"/><Relationship Id="rId9" Type="http://schemas.openxmlformats.org/officeDocument/2006/relationships/hyperlink" Target="https://drive.google.com/drive/folders/1fMatqHwPebin0wQw-YMWgJnwV4JrwTtQ?hl=vi" TargetMode="External"/><Relationship Id="rId5" Type="http://schemas.openxmlformats.org/officeDocument/2006/relationships/hyperlink" Target="https://drive.google.com/drive/folders/1IuaeNR8RoEEsqZFM7nFspEJ1N7OgAkwI?usp=drive_link" TargetMode="External"/><Relationship Id="rId6" Type="http://schemas.openxmlformats.org/officeDocument/2006/relationships/hyperlink" Target="https://drive.google.com/drive/folders/1vhxLw2EheE4IeqhLJtPLCGJqIuAAWKf6?hl=vi" TargetMode="External"/><Relationship Id="rId7" Type="http://schemas.openxmlformats.org/officeDocument/2006/relationships/hyperlink" Target="https://drive.google.com/drive/folders/15U6VsPaRXHUJE5OKxo5OnX8tOZfKnXsi?hl=vi" TargetMode="External"/><Relationship Id="rId8" Type="http://schemas.openxmlformats.org/officeDocument/2006/relationships/hyperlink" Target="https://drive.google.com/drive/folders/1sZ4SjS6h6qKOmen_fYfKl8UA3c65CuRU?hl=vi" TargetMode="External"/><Relationship Id="rId73" Type="http://schemas.openxmlformats.org/officeDocument/2006/relationships/hyperlink" Target="https://drive.google.com/drive/folders/1dtR_V54Ew3zEDlnR2uHYPRhZgsPYmgSW?hl=vi" TargetMode="External"/><Relationship Id="rId72" Type="http://schemas.openxmlformats.org/officeDocument/2006/relationships/hyperlink" Target="https://drive.google.com/drive/folders/1L3oPNUEsUfx23sklS9kAlnN6Dj1Zl6j4?hl=vi" TargetMode="External"/><Relationship Id="rId75" Type="http://schemas.openxmlformats.org/officeDocument/2006/relationships/hyperlink" Target="https://drive.google.com/drive/folders/11UH4T6mrKDyxtwQ0G9YAQ8Jr6GM_w0SW?usp=drive_link+" TargetMode="External"/><Relationship Id="rId74" Type="http://schemas.openxmlformats.org/officeDocument/2006/relationships/hyperlink" Target="https://drive.google.com/drive/folders/1LmGGYA9Ubx41GYdGM5WtwqIpr5kd9u-p?hl=vi" TargetMode="External"/><Relationship Id="rId77" Type="http://schemas.openxmlformats.org/officeDocument/2006/relationships/hyperlink" Target="https://drive.google.com/drive/folders/1QM4NwWL8REGejpvQKRDckgP4YlqKJHhK?hl=vi" TargetMode="External"/><Relationship Id="rId76" Type="http://schemas.openxmlformats.org/officeDocument/2006/relationships/hyperlink" Target="https://drive.google.com/drive/folders/1lbDs2qHFMt5OQ2PFO9D8MZpAOhL6J2X1?hl=vi" TargetMode="External"/><Relationship Id="rId79" Type="http://schemas.openxmlformats.org/officeDocument/2006/relationships/hyperlink" Target="https://drive.google.com/drive/folders/1ElPcyywDPp4DTRhG5o67O1sTvOOajspC?hl=vi" TargetMode="External"/><Relationship Id="rId78" Type="http://schemas.openxmlformats.org/officeDocument/2006/relationships/hyperlink" Target="https://drive.google.com/drive/folders/1wR1YRRIjAZVJPBR_I07_iLTCYAYd9W14?hl=vi" TargetMode="External"/><Relationship Id="rId71" Type="http://schemas.openxmlformats.org/officeDocument/2006/relationships/hyperlink" Target="https://drive.google.com/drive/folders/1gMxhIv18kN_ATQHHSfxiDsBErkGWE6Pg?hl=vi" TargetMode="External"/><Relationship Id="rId70" Type="http://schemas.openxmlformats.org/officeDocument/2006/relationships/hyperlink" Target="https://drive.google.com/drive/folders/1Y5vS0u_T8iEX3K7-Xe2_kpFUqYVFiGHN?hl=vi" TargetMode="External"/><Relationship Id="rId62" Type="http://schemas.openxmlformats.org/officeDocument/2006/relationships/hyperlink" Target="https://drive.google.com/drive/folders/1i1zWTFLNGN_HA_xk7hhxjwgcOBtQuWNb?hl=vi" TargetMode="External"/><Relationship Id="rId61" Type="http://schemas.openxmlformats.org/officeDocument/2006/relationships/hyperlink" Target="https://drive.google.com/drive/folders/1s9OZPAfCDh4A35A_fbUmXyzX_fBoCPrv?hl=vi" TargetMode="External"/><Relationship Id="rId64" Type="http://schemas.openxmlformats.org/officeDocument/2006/relationships/hyperlink" Target="https://drive.google.com/drive/folders/19Xqbz39bz5ZBKYduaX15Iqb3qjf00iKc?usp=drive_link" TargetMode="External"/><Relationship Id="rId63" Type="http://schemas.openxmlformats.org/officeDocument/2006/relationships/hyperlink" Target="https://drive.google.com/drive/folders/1I7mfukMV7kI-oeEZdlSVkIhe2bHDAMMX?usp=drive_link" TargetMode="External"/><Relationship Id="rId66" Type="http://schemas.openxmlformats.org/officeDocument/2006/relationships/hyperlink" Target="https://drive.google.com/drive/folders/1adAFLXTh76QijupOKgmt97D64bQLDzm4?usp=drive_link" TargetMode="External"/><Relationship Id="rId65" Type="http://schemas.openxmlformats.org/officeDocument/2006/relationships/hyperlink" Target="https://drive.google.com/drive/folders/13tbYVHM8A09EUDjgRHjbZFo48Wd_e8gV?usp=drive_link" TargetMode="External"/><Relationship Id="rId68" Type="http://schemas.openxmlformats.org/officeDocument/2006/relationships/hyperlink" Target="https://drive.google.com/drive/folders/1h2txzasP-670NoPGjyhDsEYb_EcnnciF?hl=vi" TargetMode="External"/><Relationship Id="rId67" Type="http://schemas.openxmlformats.org/officeDocument/2006/relationships/hyperlink" Target="https://drive.google.com/drive/folders/1DhdslNwZQ-t8SjHtb4UD0ybkJWWlcSus?hl=vi" TargetMode="External"/><Relationship Id="rId60" Type="http://schemas.openxmlformats.org/officeDocument/2006/relationships/hyperlink" Target="https://drive.google.com/drive/folders/1jp2nVBimxlF44qyuWV3H3u3vEmjGDEff?hl=vi" TargetMode="External"/><Relationship Id="rId69" Type="http://schemas.openxmlformats.org/officeDocument/2006/relationships/hyperlink" Target="https://drive.google.com/drive/folders/1mPr8pfLiQItfajjHPaMe7s6TzxDuyBh5?hl=vi" TargetMode="External"/><Relationship Id="rId51" Type="http://schemas.openxmlformats.org/officeDocument/2006/relationships/hyperlink" Target="https://drive.google.com/drive/folders/1xATRci7NVcppbgWOMVuAUfHvPOO9Mv_t?hl=vi" TargetMode="External"/><Relationship Id="rId50" Type="http://schemas.openxmlformats.org/officeDocument/2006/relationships/hyperlink" Target="https://drive.google.com/drive/folders/13ooJ00CdVs-BDLoXnnpCJ_BhsOeLrzxq?hl=vi" TargetMode="External"/><Relationship Id="rId53" Type="http://schemas.openxmlformats.org/officeDocument/2006/relationships/hyperlink" Target="https://drive.google.com/drive/folders/1UcA_Q3iSEqGM99Ti3d8tpN_OyzVV0OpR?usp=drive_link" TargetMode="External"/><Relationship Id="rId52" Type="http://schemas.openxmlformats.org/officeDocument/2006/relationships/hyperlink" Target="https://drive.google.com/drive/folders/1lSufsfyA9TWc6_4q_dAttcBxr2fXQTjE?usp=drive_link" TargetMode="External"/><Relationship Id="rId55" Type="http://schemas.openxmlformats.org/officeDocument/2006/relationships/hyperlink" Target="https://drive.google.com/drive/folders/1zX6IwQTyBmjss1k53VLh2xbR6V5b8OpR?hl=vi" TargetMode="External"/><Relationship Id="rId54" Type="http://schemas.openxmlformats.org/officeDocument/2006/relationships/hyperlink" Target="https://drive.google.com/drive/folders/1V1ISr1rYlV5wZTzs59jPjJ5sFqw1M_st" TargetMode="External"/><Relationship Id="rId57" Type="http://schemas.openxmlformats.org/officeDocument/2006/relationships/hyperlink" Target="https://drive.google.com/drive/folders/1JrI5zwv2-ZDVSPzgb7j03oslhFWYCNbn?usp=drive_link" TargetMode="External"/><Relationship Id="rId56" Type="http://schemas.openxmlformats.org/officeDocument/2006/relationships/hyperlink" Target="https://drive.google.com/drive/folders/1mjyl-ltHQOa05vgyoPtcZtg4S8egqdV8?hl=vi" TargetMode="External"/><Relationship Id="rId59" Type="http://schemas.openxmlformats.org/officeDocument/2006/relationships/hyperlink" Target="https://drive.google.com/drive/folders/1IbNJrW2OMxqjNof2Lf14jRo0pnP-MpCi?hl=vi" TargetMode="External"/><Relationship Id="rId58" Type="http://schemas.openxmlformats.org/officeDocument/2006/relationships/hyperlink" Target="https://drive.google.com/drive/folders/1G3BEuddqPOEXqLfQiDNDtnOHDku1nLs5?hl=vi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Wx7ZnI65gHPzTt8_qstmgm7d2oFxx_Yc?usp=drive_link" TargetMode="External"/><Relationship Id="rId42" Type="http://schemas.openxmlformats.org/officeDocument/2006/relationships/hyperlink" Target="https://drive.google.com/drive/folders/1zXccYJh3ga1ue5GKEUybIVZlvBXfixNo?usp=drive_link" TargetMode="External"/><Relationship Id="rId41" Type="http://schemas.openxmlformats.org/officeDocument/2006/relationships/hyperlink" Target="https://drive.google.com/drive/folders/1aPWTT4R77YtvmrQnlx4FKngdm5cfX-Jq?usp=drive_link" TargetMode="External"/><Relationship Id="rId44" Type="http://schemas.openxmlformats.org/officeDocument/2006/relationships/hyperlink" Target="https://drive.google.com/drive/folders/1VuHFNyelFUH_x6_a7N96uM-C5tat4JAy?usp=drive_link" TargetMode="External"/><Relationship Id="rId43" Type="http://schemas.openxmlformats.org/officeDocument/2006/relationships/hyperlink" Target="https://drive.google.com/drive/folders/1pPnMO11329vlA_uJ8ks9ydSqjbWz50HS?usp=drive_link" TargetMode="External"/><Relationship Id="rId46" Type="http://schemas.openxmlformats.org/officeDocument/2006/relationships/hyperlink" Target="https://drive.google.com/drive/folders/1i5EA5RursmXQRJz9FUhb8uaXy5P9YGEt?usp=drive_link" TargetMode="External"/><Relationship Id="rId45" Type="http://schemas.openxmlformats.org/officeDocument/2006/relationships/hyperlink" Target="https://drive.google.com/drive/folders/1FbNL1cZ6Z6P_8nN6Dxfa2QEy0umwKTBt?usp=drive_link" TargetMode="External"/><Relationship Id="rId48" Type="http://schemas.openxmlformats.org/officeDocument/2006/relationships/hyperlink" Target="https://drive.google.com/drive/folders/1X6eloU5Xjn9-LvO0NM2TE-hJ7TiyNYwS?usp=sharing" TargetMode="External"/><Relationship Id="rId47" Type="http://schemas.openxmlformats.org/officeDocument/2006/relationships/hyperlink" Target="https://drive.google.com/drive/folders/1qAd8f7KtcmAO6Georfc1i9DBvBm2aL8B?usp=drive_link" TargetMode="External"/><Relationship Id="rId49" Type="http://schemas.openxmlformats.org/officeDocument/2006/relationships/hyperlink" Target="https://drive.google.com/drive/folders/1OQtwOFsg_Vmigy6jEkUR9AxZVCKaBTNE?usp=sharing" TargetMode="External"/><Relationship Id="rId31" Type="http://schemas.openxmlformats.org/officeDocument/2006/relationships/hyperlink" Target="https://drive.google.com/drive/folders/14o_QnAW4GLxnjeXEr1BbAb4zxrYUTeW8?usp=drive_link" TargetMode="External"/><Relationship Id="rId30" Type="http://schemas.openxmlformats.org/officeDocument/2006/relationships/hyperlink" Target="https://drive.google.com/drive/folders/1D4weOlP-hGfrvZi50KXPXDIdRiSNvD18?usp=drive_link" TargetMode="External"/><Relationship Id="rId33" Type="http://schemas.openxmlformats.org/officeDocument/2006/relationships/hyperlink" Target="https://drive.google.com/drive/folders/15SDDqr-OZ2yhTTgMCQ6GIE5HYyheFABf?usp=sharing" TargetMode="External"/><Relationship Id="rId32" Type="http://schemas.openxmlformats.org/officeDocument/2006/relationships/hyperlink" Target="https://drive.google.com/drive/folders/14N6X4yxYOabfBrGf8g22h7ZipRuoh-vf?usp=sharing" TargetMode="External"/><Relationship Id="rId35" Type="http://schemas.openxmlformats.org/officeDocument/2006/relationships/hyperlink" Target="https://drive.google.com/drive/folders/1HYDBvhbUW9matQqNave0F47AGjFt_5wa?usp=sharing" TargetMode="External"/><Relationship Id="rId34" Type="http://schemas.openxmlformats.org/officeDocument/2006/relationships/hyperlink" Target="https://drive.google.com/drive/folders/1OEFXWcep__i5lAOh21lj9xHD8XMaEXQd?usp=sharing" TargetMode="External"/><Relationship Id="rId37" Type="http://schemas.openxmlformats.org/officeDocument/2006/relationships/hyperlink" Target="https://drive.google.com/drive/folders/1xK9wq0d2hR6RqRXDQD-T0P5bqK97DFkp?usp=drive_link" TargetMode="External"/><Relationship Id="rId36" Type="http://schemas.openxmlformats.org/officeDocument/2006/relationships/hyperlink" Target="https://drive.google.com/drive/folders/1ew7ZziL23UYYihCc0TgPmj3xV0V5gRgW?usp=drive_link" TargetMode="External"/><Relationship Id="rId39" Type="http://schemas.openxmlformats.org/officeDocument/2006/relationships/hyperlink" Target="https://drive.google.com/drive/folders/1oGvu-ynuJ2a-bEYz9KVLshaSpZODw1L4?usp=drive_link" TargetMode="External"/><Relationship Id="rId38" Type="http://schemas.openxmlformats.org/officeDocument/2006/relationships/hyperlink" Target="https://drive.google.com/drive/folders/1dgafaihQHQKE-PG-tV0WyKgJqnGNYi_-?usp=drive_link" TargetMode="External"/><Relationship Id="rId20" Type="http://schemas.openxmlformats.org/officeDocument/2006/relationships/hyperlink" Target="https://drive.google.com/drive/folders/1fV5rTqN8XRomC95F1qn5Mz9KhwUD-MWa?usp=drive_link" TargetMode="External"/><Relationship Id="rId22" Type="http://schemas.openxmlformats.org/officeDocument/2006/relationships/hyperlink" Target="https://drive.google.com/drive/folders/1xRb5caoh2xPlCZkwA6C0CzLvooQ1Jqmh" TargetMode="External"/><Relationship Id="rId21" Type="http://schemas.openxmlformats.org/officeDocument/2006/relationships/hyperlink" Target="https://drive.google.com/drive/folders/1XPooHGSiZ1JNjxHaDyBg6nQvngkd5lsX?usp=drive_link" TargetMode="External"/><Relationship Id="rId24" Type="http://schemas.openxmlformats.org/officeDocument/2006/relationships/hyperlink" Target="https://drive.google.com/drive/folders/1V3Sf3HPzL9SyMfHKNRBQi8Se_c5gRO0j?usp=drive_link" TargetMode="External"/><Relationship Id="rId23" Type="http://schemas.openxmlformats.org/officeDocument/2006/relationships/hyperlink" Target="https://drive.google.com/drive/folders/1dWZqgTLAnK-ai1yW-_ogVXYE76HDvsNL" TargetMode="External"/><Relationship Id="rId26" Type="http://schemas.openxmlformats.org/officeDocument/2006/relationships/hyperlink" Target="https://drive.google.com/drive/folders/1FS5FT9fFzFZna0J1IYPIlwGwWz5AITlL?usp=drive_link" TargetMode="External"/><Relationship Id="rId25" Type="http://schemas.openxmlformats.org/officeDocument/2006/relationships/hyperlink" Target="https://drive.google.com/drive/folders/1L8h616DvGHKF8yPk67sNmfcGMRBd1etI?usp=drive_link" TargetMode="External"/><Relationship Id="rId28" Type="http://schemas.openxmlformats.org/officeDocument/2006/relationships/hyperlink" Target="https://drive.google.com/drive/folders/16VglURBq-Tg-2Q46U9jdY0w6vzc_njlz?usp=drive_link" TargetMode="External"/><Relationship Id="rId27" Type="http://schemas.openxmlformats.org/officeDocument/2006/relationships/hyperlink" Target="https://drive.google.com/drive/folders/1GSC_fQ0E0sTIpFSjXnTbdKCgoeRiBdmp" TargetMode="External"/><Relationship Id="rId29" Type="http://schemas.openxmlformats.org/officeDocument/2006/relationships/hyperlink" Target="https://drive.google.com/drive/folders/1yH9F8ocXzA-jwQkEA6Fi5cUYcZ3b_S9E?usp=drive_link" TargetMode="External"/><Relationship Id="rId11" Type="http://schemas.openxmlformats.org/officeDocument/2006/relationships/hyperlink" Target="https://drive.google.com/drive/folders/1jpaM-6j0bdYtWuSHLj_HO2vdpMCiCSWr?usp=drive_link" TargetMode="External"/><Relationship Id="rId10" Type="http://schemas.openxmlformats.org/officeDocument/2006/relationships/hyperlink" Target="https://drive.google.com/drive/folders/17S1pRkJnO3uZUs5H2eRqJR5310azPMqc?usp=drive_link" TargetMode="External"/><Relationship Id="rId13" Type="http://schemas.openxmlformats.org/officeDocument/2006/relationships/hyperlink" Target="https://drive.google.com/drive/folders/1q81A0o3Qtwn0BFUQst3sfvE6_ceNcmNc?usp=drive_link" TargetMode="External"/><Relationship Id="rId12" Type="http://schemas.openxmlformats.org/officeDocument/2006/relationships/hyperlink" Target="https://drive.google.com/drive/folders/1EXo3W4htrFQ-NOsrPWPlFja6savnuzga?usp=drive_link" TargetMode="External"/><Relationship Id="rId15" Type="http://schemas.openxmlformats.org/officeDocument/2006/relationships/hyperlink" Target="https://drive.google.com/drive/folders/1hbq8hooicjY1kbVGgN-M8oh8MVml3Yc0?usp=drive_link" TargetMode="External"/><Relationship Id="rId14" Type="http://schemas.openxmlformats.org/officeDocument/2006/relationships/hyperlink" Target="https://drive.google.com/drive/u/0/folders/1GBi1bQVzRyhunZotL-YrQxgSKc4LnVqD" TargetMode="External"/><Relationship Id="rId17" Type="http://schemas.openxmlformats.org/officeDocument/2006/relationships/hyperlink" Target="https://drive.google.com/drive/folders/19IrYVIdua6aKe1HoMn0-rCLeCAOiX5lj?usp=drive_link" TargetMode="External"/><Relationship Id="rId16" Type="http://schemas.openxmlformats.org/officeDocument/2006/relationships/hyperlink" Target="https://drive.google.com/drive/folders/1qiSW9AbFmCC8qbzYLikcRXUA11ZZASyF?usp=drive_link" TargetMode="External"/><Relationship Id="rId19" Type="http://schemas.openxmlformats.org/officeDocument/2006/relationships/hyperlink" Target="https://drive.google.com/drive/folders/1kQWUSAa0FNL5chfw5R6DxDd3qMxFtL41?usp=sharing" TargetMode="External"/><Relationship Id="rId18" Type="http://schemas.openxmlformats.org/officeDocument/2006/relationships/hyperlink" Target="https://drive.google.com/drive/folders/1cZAubTOvnQFuOWqBHrOxqYAnXPcTTd5w?usp=sharing" TargetMode="External"/><Relationship Id="rId1" Type="http://schemas.openxmlformats.org/officeDocument/2006/relationships/hyperlink" Target="https://drive.google.com/drive/folders/1teFWvWoptOqVejhvASYDpBit03nt__dI?usp=drive_link" TargetMode="External"/><Relationship Id="rId2" Type="http://schemas.openxmlformats.org/officeDocument/2006/relationships/hyperlink" Target="https://drive.google.com/drive/folders/1HdGL7UpF4jvfGVQN9p2vlR-lKWnE6YQN?usp=drive_link" TargetMode="External"/><Relationship Id="rId3" Type="http://schemas.openxmlformats.org/officeDocument/2006/relationships/hyperlink" Target="https://docs.google.com/spreadsheets/d/1WugHpCvm3s8vUFE1ncE4vWMvnJVTKDpR/edit?gid=192979425" TargetMode="External"/><Relationship Id="rId4" Type="http://schemas.openxmlformats.org/officeDocument/2006/relationships/hyperlink" Target="https://drive.google.com/drive/folders/1UdDfHa-LzWMD0ir_PLWjF1k1R_5UZDHJ?usp=drive_link" TargetMode="External"/><Relationship Id="rId9" Type="http://schemas.openxmlformats.org/officeDocument/2006/relationships/hyperlink" Target="https://drive.google.com/drive/folders/1dg2LqM0aJ2vODRUxVPrFzMkydpDGHyNt" TargetMode="External"/><Relationship Id="rId5" Type="http://schemas.openxmlformats.org/officeDocument/2006/relationships/hyperlink" Target="https://drive.google.com/drive/folders/1lnzEK0FhlGXXLr7NhL0HQ2PZjhVIpAWQ?usp=drive_link" TargetMode="External"/><Relationship Id="rId6" Type="http://schemas.openxmlformats.org/officeDocument/2006/relationships/hyperlink" Target="https://drive.google.com/drive/folders/1IQWn1r9CHM5nQXY2WJFK-1x1gcGu1ezJ?usp=drive_link" TargetMode="External"/><Relationship Id="rId7" Type="http://schemas.openxmlformats.org/officeDocument/2006/relationships/hyperlink" Target="https://drive.google.com/drive/folders/1iA0BO0e6ar-CVxluShvrkB-QXGNyILo8?usp=drive_link" TargetMode="External"/><Relationship Id="rId8" Type="http://schemas.openxmlformats.org/officeDocument/2006/relationships/hyperlink" Target="https://drive.google.com/drive/u/0/folders/1AWx0JE7SNseMsKyqdwNL0RIHCzJt1lLM?hl=vi" TargetMode="External"/><Relationship Id="rId51" Type="http://schemas.openxmlformats.org/officeDocument/2006/relationships/hyperlink" Target="https://drive.google.com/drive/folders/1xK9wq0d2hR6RqRXDQD-T0P5bqK97DFkp?usp=sharing" TargetMode="External"/><Relationship Id="rId50" Type="http://schemas.openxmlformats.org/officeDocument/2006/relationships/hyperlink" Target="https://drive.google.com/drive/folders/1L7TmLCLmr-jntUDxWFSyMugvhhOu3Cva?usp=drive_link" TargetMode="External"/><Relationship Id="rId53" Type="http://schemas.openxmlformats.org/officeDocument/2006/relationships/hyperlink" Target="https://drive.google.com/drive/folders/11jQZkZ_tAux_N8OArjrS7HU8o9XKZ9NY?usp=drive_link" TargetMode="External"/><Relationship Id="rId52" Type="http://schemas.openxmlformats.org/officeDocument/2006/relationships/hyperlink" Target="https://drive.google.com/drive/folders/1-iYQNfDSXyYk2FRSw0JXW4MtOJpW31A3?usp=drive_link" TargetMode="External"/><Relationship Id="rId5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dgafaihQHQKE-PG-tV0WyKgJqnGNYi_-?usp=drive_link" TargetMode="External"/><Relationship Id="rId42" Type="http://schemas.openxmlformats.org/officeDocument/2006/relationships/hyperlink" Target="https://drive.google.com/drive/folders/1Wx7ZnI65gHPzTt8_qstmgm7d2oFxx_Yc?usp=drive_link" TargetMode="External"/><Relationship Id="rId41" Type="http://schemas.openxmlformats.org/officeDocument/2006/relationships/hyperlink" Target="https://drive.google.com/drive/folders/1oGvu-ynuJ2a-bEYz9KVLshaSpZODw1L4?usp=drive_link" TargetMode="External"/><Relationship Id="rId44" Type="http://schemas.openxmlformats.org/officeDocument/2006/relationships/hyperlink" Target="https://drive.google.com/drive/folders/1zXccYJh3ga1ue5GKEUybIVZlvBXfixNo?usp=drive_link" TargetMode="External"/><Relationship Id="rId43" Type="http://schemas.openxmlformats.org/officeDocument/2006/relationships/hyperlink" Target="https://drive.google.com/drive/folders/1aPWTT4R77YtvmrQnlx4FKngdm5cfX-Jq?usp=drive_link" TargetMode="External"/><Relationship Id="rId46" Type="http://schemas.openxmlformats.org/officeDocument/2006/relationships/hyperlink" Target="https://drive.google.com/drive/folders/1VuHFNyelFUH_x6_a7N96uM-C5tat4JAy?usp=drive_link" TargetMode="External"/><Relationship Id="rId45" Type="http://schemas.openxmlformats.org/officeDocument/2006/relationships/hyperlink" Target="https://drive.google.com/drive/folders/1pPnMO11329vlA_uJ8ks9ydSqjbWz50HS?usp=drive_link" TargetMode="External"/><Relationship Id="rId48" Type="http://schemas.openxmlformats.org/officeDocument/2006/relationships/hyperlink" Target="https://drive.google.com/drive/folders/1i5EA5RursmXQRJz9FUhb8uaXy5P9YGEt?usp=drive_link" TargetMode="External"/><Relationship Id="rId47" Type="http://schemas.openxmlformats.org/officeDocument/2006/relationships/hyperlink" Target="https://drive.google.com/drive/folders/1FbNL1cZ6Z6P_8nN6Dxfa2QEy0umwKTBt?usp=drive_link" TargetMode="External"/><Relationship Id="rId49" Type="http://schemas.openxmlformats.org/officeDocument/2006/relationships/hyperlink" Target="https://drive.google.com/drive/folders/1qAd8f7KtcmAO6Georfc1i9DBvBm2aL8B?usp=drive_link" TargetMode="External"/><Relationship Id="rId31" Type="http://schemas.openxmlformats.org/officeDocument/2006/relationships/hyperlink" Target="https://drive.google.com/drive/folders/1yH9F8ocXzA-jwQkEA6Fi5cUYcZ3b_S9E?usp=drive_link" TargetMode="External"/><Relationship Id="rId30" Type="http://schemas.openxmlformats.org/officeDocument/2006/relationships/hyperlink" Target="https://drive.google.com/drive/folders/16VglURBq-Tg-2Q46U9jdY0w6vzc_njlz?usp=drive_link" TargetMode="External"/><Relationship Id="rId33" Type="http://schemas.openxmlformats.org/officeDocument/2006/relationships/hyperlink" Target="https://drive.google.com/drive/folders/14o_QnAW4GLxnjeXEr1BbAb4zxrYUTeW8?usp=drive_link" TargetMode="External"/><Relationship Id="rId32" Type="http://schemas.openxmlformats.org/officeDocument/2006/relationships/hyperlink" Target="https://drive.google.com/drive/folders/1D4weOlP-hGfrvZi50KXPXDIdRiSNvD18?usp=drive_link" TargetMode="External"/><Relationship Id="rId35" Type="http://schemas.openxmlformats.org/officeDocument/2006/relationships/hyperlink" Target="https://drive.google.com/drive/folders/15SDDqr-OZ2yhTTgMCQ6GIE5HYyheFABf?usp=sharing" TargetMode="External"/><Relationship Id="rId34" Type="http://schemas.openxmlformats.org/officeDocument/2006/relationships/hyperlink" Target="https://drive.google.com/drive/folders/14N6X4yxYOabfBrGf8g22h7ZipRuoh-vf?usp=sharing" TargetMode="External"/><Relationship Id="rId37" Type="http://schemas.openxmlformats.org/officeDocument/2006/relationships/hyperlink" Target="https://drive.google.com/drive/folders/1HYDBvhbUW9matQqNave0F47AGjFt_5wa?usp=sharing" TargetMode="External"/><Relationship Id="rId36" Type="http://schemas.openxmlformats.org/officeDocument/2006/relationships/hyperlink" Target="https://drive.google.com/drive/folders/1OEFXWcep__i5lAOh21lj9xHD8XMaEXQd?usp=sharing" TargetMode="External"/><Relationship Id="rId39" Type="http://schemas.openxmlformats.org/officeDocument/2006/relationships/hyperlink" Target="https://drive.google.com/drive/folders/1xK9wq0d2hR6RqRXDQD-T0P5bqK97DFkp?usp=drive_link" TargetMode="External"/><Relationship Id="rId38" Type="http://schemas.openxmlformats.org/officeDocument/2006/relationships/hyperlink" Target="https://drive.google.com/drive/folders/1ew7ZziL23UYYihCc0TgPmj3xV0V5gRgW?usp=drive_link" TargetMode="External"/><Relationship Id="rId20" Type="http://schemas.openxmlformats.org/officeDocument/2006/relationships/hyperlink" Target="https://drive.google.com/drive/folders/1cZAubTOvnQFuOWqBHrOxqYAnXPcTTd5w?usp=sharing" TargetMode="External"/><Relationship Id="rId22" Type="http://schemas.openxmlformats.org/officeDocument/2006/relationships/hyperlink" Target="https://drive.google.com/drive/folders/1fV5rTqN8XRomC95F1qn5Mz9KhwUD-MWa?usp=drive_link" TargetMode="External"/><Relationship Id="rId21" Type="http://schemas.openxmlformats.org/officeDocument/2006/relationships/hyperlink" Target="https://drive.google.com/drive/folders/1kQWUSAa0FNL5chfw5R6DxDd3qMxFtL41?usp=sharing" TargetMode="External"/><Relationship Id="rId24" Type="http://schemas.openxmlformats.org/officeDocument/2006/relationships/hyperlink" Target="https://drive.google.com/drive/folders/1xRb5caoh2xPlCZkwA6C0CzLvooQ1Jqmh" TargetMode="External"/><Relationship Id="rId23" Type="http://schemas.openxmlformats.org/officeDocument/2006/relationships/hyperlink" Target="https://drive.google.com/drive/folders/1XPooHGSiZ1JNjxHaDyBg6nQvngkd5lsX?usp=drive_link" TargetMode="External"/><Relationship Id="rId26" Type="http://schemas.openxmlformats.org/officeDocument/2006/relationships/hyperlink" Target="https://drive.google.com/drive/folders/1V3Sf3HPzL9SyMfHKNRBQi8Se_c5gRO0j?usp=drive_link" TargetMode="External"/><Relationship Id="rId25" Type="http://schemas.openxmlformats.org/officeDocument/2006/relationships/hyperlink" Target="https://drive.google.com/drive/folders/1dWZqgTLAnK-ai1yW-_ogVXYE76HDvsNL" TargetMode="External"/><Relationship Id="rId28" Type="http://schemas.openxmlformats.org/officeDocument/2006/relationships/hyperlink" Target="https://drive.google.com/drive/folders/1FS5FT9fFzFZna0J1IYPIlwGwWz5AITlL?usp=drive_link" TargetMode="External"/><Relationship Id="rId27" Type="http://schemas.openxmlformats.org/officeDocument/2006/relationships/hyperlink" Target="https://drive.google.com/drive/folders/1L8h616DvGHKF8yPk67sNmfcGMRBd1etI?usp=drive_link" TargetMode="External"/><Relationship Id="rId29" Type="http://schemas.openxmlformats.org/officeDocument/2006/relationships/hyperlink" Target="https://drive.google.com/drive/folders/1GSC_fQ0E0sTIpFSjXnTbdKCgoeRiBdmp" TargetMode="External"/><Relationship Id="rId11" Type="http://schemas.openxmlformats.org/officeDocument/2006/relationships/hyperlink" Target="https://drive.google.com/drive/folders/17S1pRkJnO3uZUs5H2eRqJR5310azPMqc?usp=drive_link" TargetMode="External"/><Relationship Id="rId10" Type="http://schemas.openxmlformats.org/officeDocument/2006/relationships/hyperlink" Target="https://drive.google.com/drive/folders/1dg2LqM0aJ2vODRUxVPrFzMkydpDGHyNt" TargetMode="External"/><Relationship Id="rId13" Type="http://schemas.openxmlformats.org/officeDocument/2006/relationships/hyperlink" Target="https://drive.google.com/drive/folders/1EXo3W4htrFQ-NOsrPWPlFja6savnuzga?usp=drive_link" TargetMode="External"/><Relationship Id="rId12" Type="http://schemas.openxmlformats.org/officeDocument/2006/relationships/hyperlink" Target="https://drive.google.com/drive/folders/1jpaM-6j0bdYtWuSHLj_HO2vdpMCiCSWr?usp=drive_link" TargetMode="External"/><Relationship Id="rId15" Type="http://schemas.openxmlformats.org/officeDocument/2006/relationships/hyperlink" Target="https://drive.google.com/drive/folders/1q81A0o3Qtwn0BFUQst3sfvE6_ceNcmNc?usp=drive_link" TargetMode="External"/><Relationship Id="rId14" Type="http://schemas.openxmlformats.org/officeDocument/2006/relationships/hyperlink" Target="https://drive.google.com/drive/u/0/folders/1jxvwQZY6roLF_tUfVq_pWXTbpNnUqU0o?hl=vi" TargetMode="External"/><Relationship Id="rId17" Type="http://schemas.openxmlformats.org/officeDocument/2006/relationships/hyperlink" Target="https://drive.google.com/drive/folders/1hbq8hooicjY1kbVGgN-M8oh8MVml3Yc0?usp=drive_link" TargetMode="External"/><Relationship Id="rId16" Type="http://schemas.openxmlformats.org/officeDocument/2006/relationships/hyperlink" Target="https://drive.google.com/drive/u/0/folders/1GBi1bQVzRyhunZotL-YrQxgSKc4LnVqD" TargetMode="External"/><Relationship Id="rId19" Type="http://schemas.openxmlformats.org/officeDocument/2006/relationships/hyperlink" Target="https://drive.google.com/drive/folders/19IrYVIdua6aKe1HoMn0-rCLeCAOiX5lj?usp=drive_link" TargetMode="External"/><Relationship Id="rId18" Type="http://schemas.openxmlformats.org/officeDocument/2006/relationships/hyperlink" Target="https://drive.google.com/drive/folders/1qiSW9AbFmCC8qbzYLikcRXUA11ZZASyF?usp=drive_link" TargetMode="External"/><Relationship Id="rId1" Type="http://schemas.openxmlformats.org/officeDocument/2006/relationships/hyperlink" Target="https://drive.google.com/drive/folders/1teFWvWoptOqVejhvASYDpBit03nt__dI?usp=drive_link" TargetMode="External"/><Relationship Id="rId2" Type="http://schemas.openxmlformats.org/officeDocument/2006/relationships/hyperlink" Target="https://drive.google.com/drive/folders/1HdGL7UpF4jvfGVQN9p2vlR-lKWnE6YQN?usp=drive_link" TargetMode="External"/><Relationship Id="rId3" Type="http://schemas.openxmlformats.org/officeDocument/2006/relationships/hyperlink" Target="https://docs.google.com/spreadsheets/d/1WugHpCvm3s8vUFE1ncE4vWMvnJVTKDpR/edit?gid=192979425" TargetMode="External"/><Relationship Id="rId4" Type="http://schemas.openxmlformats.org/officeDocument/2006/relationships/hyperlink" Target="https://drive.google.com/drive/folders/1QyHHG2FVAX9Ljwx-QAG6vMEWNGGFKrkt?usp=drive_link" TargetMode="External"/><Relationship Id="rId9" Type="http://schemas.openxmlformats.org/officeDocument/2006/relationships/hyperlink" Target="https://drive.google.com/drive/u/0/folders/1AWx0JE7SNseMsKyqdwNL0RIHCzJt1lLM?hl=vi" TargetMode="External"/><Relationship Id="rId5" Type="http://schemas.openxmlformats.org/officeDocument/2006/relationships/hyperlink" Target="https://drive.google.com/drive/folders/1UdDfHa-LzWMD0ir_PLWjF1k1R_5UZDHJ?usp=drive_link" TargetMode="External"/><Relationship Id="rId6" Type="http://schemas.openxmlformats.org/officeDocument/2006/relationships/hyperlink" Target="https://drive.google.com/drive/folders/1lnzEK0FhlGXXLr7NhL0HQ2PZjhVIpAWQ?usp=drive_link" TargetMode="External"/><Relationship Id="rId7" Type="http://schemas.openxmlformats.org/officeDocument/2006/relationships/hyperlink" Target="https://drive.google.com/drive/folders/1IQWn1r9CHM5nQXY2WJFK-1x1gcGu1ezJ?usp=drive_link" TargetMode="External"/><Relationship Id="rId8" Type="http://schemas.openxmlformats.org/officeDocument/2006/relationships/hyperlink" Target="https://drive.google.com/drive/folders/1iA0BO0e6ar-CVxluShvrkB-QXGNyILo8?usp=drive_link" TargetMode="External"/><Relationship Id="rId51" Type="http://schemas.openxmlformats.org/officeDocument/2006/relationships/hyperlink" Target="https://drive.google.com/drive/folders/1OQtwOFsg_Vmigy6jEkUR9AxZVCKaBTNE?usp=sharing" TargetMode="External"/><Relationship Id="rId50" Type="http://schemas.openxmlformats.org/officeDocument/2006/relationships/hyperlink" Target="https://drive.google.com/drive/folders/1X6eloU5Xjn9-LvO0NM2TE-hJ7TiyNYwS?usp=sharing" TargetMode="External"/><Relationship Id="rId53" Type="http://schemas.openxmlformats.org/officeDocument/2006/relationships/hyperlink" Target="https://drive.google.com/drive/folders/1xK9wq0d2hR6RqRXDQD-T0P5bqK97DFkp?usp=sharing" TargetMode="External"/><Relationship Id="rId52" Type="http://schemas.openxmlformats.org/officeDocument/2006/relationships/hyperlink" Target="https://drive.google.com/drive/folders/1L7TmLCLmr-jntUDxWFSyMugvhhOu3Cva?usp=drive_link" TargetMode="External"/><Relationship Id="rId55" Type="http://schemas.openxmlformats.org/officeDocument/2006/relationships/hyperlink" Target="https://drive.google.com/drive/folders/11jQZkZ_tAux_N8OArjrS7HU8o9XKZ9NY?usp=drive_link" TargetMode="External"/><Relationship Id="rId54" Type="http://schemas.openxmlformats.org/officeDocument/2006/relationships/hyperlink" Target="https://drive.google.com/drive/folders/1-iYQNfDSXyYk2FRSw0JXW4MtOJpW31A3?usp=drive_link" TargetMode="External"/><Relationship Id="rId56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0"/>
    <col customWidth="1" hidden="1" min="2" max="2" width="7.5"/>
    <col customWidth="1" hidden="1" min="3" max="3" width="16.63"/>
    <col customWidth="1" min="6" max="6" width="10.5"/>
    <col customWidth="1" min="7" max="7" width="10.63"/>
    <col customWidth="1" min="9" max="9" width="10.75"/>
    <col customWidth="1" min="10" max="10" width="10.13"/>
    <col customWidth="1" min="11" max="11" width="12.0"/>
    <col customWidth="1" min="12" max="12" width="10.75"/>
    <col customWidth="1" min="13" max="13" width="18.5"/>
    <col customWidth="1" hidden="1" min="14" max="14" width="11.63"/>
    <col customWidth="1" hidden="1" min="15" max="15" width="16.38"/>
    <col customWidth="1" min="16" max="16" width="18.0"/>
    <col customWidth="1" min="17" max="17" width="15.25"/>
    <col customWidth="1" min="18" max="18" width="9.75"/>
    <col customWidth="1" min="19" max="19" width="14.75"/>
    <col customWidth="1" min="20" max="21" width="13.75"/>
    <col customWidth="1" min="22" max="23" width="16.25"/>
    <col customWidth="1" min="25" max="25" width="16.75"/>
  </cols>
  <sheetData>
    <row r="1">
      <c r="A1" s="5"/>
      <c r="B1" s="9"/>
      <c r="C1" s="11"/>
      <c r="D1" s="11"/>
      <c r="E1" s="11"/>
      <c r="F1" s="14"/>
      <c r="G1" s="17" t="s">
        <v>3</v>
      </c>
      <c r="H1" s="8"/>
      <c r="I1" s="26">
        <f>Today()</f>
        <v>46220</v>
      </c>
      <c r="J1" s="29" t="s">
        <v>7</v>
      </c>
      <c r="K1" s="30" t="s">
        <v>10</v>
      </c>
      <c r="L1" s="32" t="s">
        <v>13</v>
      </c>
      <c r="M1" s="34" t="s">
        <v>15</v>
      </c>
      <c r="N1" s="36"/>
      <c r="O1" s="36"/>
      <c r="P1" s="36"/>
      <c r="Q1" s="36"/>
      <c r="R1" s="40"/>
      <c r="S1" s="40"/>
      <c r="T1" s="40"/>
      <c r="U1" s="43"/>
      <c r="V1" s="3"/>
      <c r="W1" s="3"/>
      <c r="X1" s="3"/>
      <c r="Y1" s="45"/>
      <c r="Z1" s="45"/>
      <c r="AA1" s="45"/>
      <c r="AB1" s="45"/>
    </row>
    <row r="2" ht="27.0" hidden="1" customHeight="1">
      <c r="B2" s="48"/>
      <c r="C2" s="48"/>
      <c r="D2" s="48"/>
      <c r="E2" s="50" t="s">
        <v>26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2"/>
      <c r="V2" s="3"/>
      <c r="W2" s="3"/>
      <c r="X2" s="3"/>
      <c r="Y2" s="45"/>
      <c r="Z2" s="45"/>
      <c r="AA2" s="45"/>
      <c r="AB2" s="45"/>
    </row>
    <row r="3" hidden="1">
      <c r="A3" s="54" t="s">
        <v>5</v>
      </c>
      <c r="B3" s="55" t="s">
        <v>32</v>
      </c>
      <c r="C3" s="57" t="s">
        <v>34</v>
      </c>
      <c r="D3" s="59"/>
      <c r="E3" s="59" t="s">
        <v>36</v>
      </c>
      <c r="F3" s="59" t="s">
        <v>37</v>
      </c>
      <c r="G3" s="59" t="s">
        <v>38</v>
      </c>
      <c r="H3" s="59" t="s">
        <v>39</v>
      </c>
      <c r="I3" s="59" t="s">
        <v>40</v>
      </c>
      <c r="J3" s="59" t="s">
        <v>41</v>
      </c>
      <c r="K3" s="59" t="s">
        <v>42</v>
      </c>
      <c r="L3" s="59" t="s">
        <v>43</v>
      </c>
      <c r="M3" s="59" t="s">
        <v>18</v>
      </c>
      <c r="N3" s="61"/>
      <c r="O3" s="61"/>
      <c r="P3" s="63" t="s">
        <v>45</v>
      </c>
      <c r="Q3" s="51"/>
      <c r="R3" s="65"/>
      <c r="S3" s="61" t="s">
        <v>46</v>
      </c>
      <c r="T3" s="61" t="s">
        <v>47</v>
      </c>
      <c r="U3" s="67" t="s">
        <v>48</v>
      </c>
      <c r="V3" s="68" t="s">
        <v>49</v>
      </c>
      <c r="W3" s="3"/>
      <c r="X3" s="3"/>
      <c r="Y3" s="45"/>
      <c r="Z3" s="45"/>
      <c r="AA3" s="45"/>
      <c r="AB3" s="45"/>
    </row>
    <row r="4" ht="18.0" hidden="1" customHeight="1">
      <c r="A4" s="69"/>
      <c r="B4" s="71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72"/>
      <c r="O4" s="72"/>
      <c r="P4" s="72" t="s">
        <v>54</v>
      </c>
      <c r="Q4" s="72" t="s">
        <v>55</v>
      </c>
      <c r="R4" s="72" t="s">
        <v>56</v>
      </c>
      <c r="S4" s="74"/>
      <c r="T4" s="74"/>
      <c r="U4" s="75"/>
      <c r="V4" s="76"/>
      <c r="W4" s="3"/>
      <c r="X4" s="3"/>
      <c r="Y4" s="45"/>
      <c r="Z4" s="45">
        <f>COUNTif(Z5:Z144,"Đã bán")</f>
        <v>30</v>
      </c>
      <c r="AA4" s="45"/>
      <c r="AB4" s="45"/>
    </row>
    <row r="5" hidden="1">
      <c r="A5" s="77">
        <v>1.0</v>
      </c>
      <c r="B5" s="78" t="s">
        <v>58</v>
      </c>
      <c r="C5" s="80"/>
      <c r="D5" s="82"/>
      <c r="E5" s="85" t="s">
        <v>62</v>
      </c>
      <c r="F5" s="87" t="s">
        <v>63</v>
      </c>
      <c r="G5" s="87" t="s">
        <v>64</v>
      </c>
      <c r="H5" s="85" t="s">
        <v>65</v>
      </c>
      <c r="I5" s="89" t="s">
        <v>66</v>
      </c>
      <c r="J5" s="89" t="s">
        <v>53</v>
      </c>
      <c r="K5" s="85">
        <v>52.0</v>
      </c>
      <c r="L5" s="85">
        <v>58.5</v>
      </c>
      <c r="M5" s="91">
        <v>5.06418816E9</v>
      </c>
      <c r="N5" s="93"/>
      <c r="O5" s="93"/>
      <c r="P5" s="93" t="s">
        <v>70</v>
      </c>
      <c r="Q5" s="93"/>
      <c r="R5" s="95">
        <v>0.14</v>
      </c>
      <c r="S5" s="99" t="s">
        <v>65</v>
      </c>
      <c r="T5" s="100" t="s">
        <v>73</v>
      </c>
      <c r="U5" s="101"/>
      <c r="V5" s="103"/>
      <c r="W5" s="103" t="s">
        <v>75</v>
      </c>
      <c r="X5" s="3"/>
    </row>
    <row r="6" hidden="1">
      <c r="A6" s="105">
        <v>2.0</v>
      </c>
      <c r="B6" s="106" t="s">
        <v>58</v>
      </c>
      <c r="C6" s="107" t="s">
        <v>77</v>
      </c>
      <c r="D6" s="108"/>
      <c r="E6" s="109" t="s">
        <v>62</v>
      </c>
      <c r="F6" s="110" t="s">
        <v>63</v>
      </c>
      <c r="G6" s="110" t="s">
        <v>80</v>
      </c>
      <c r="H6" s="109" t="s">
        <v>81</v>
      </c>
      <c r="I6" s="113" t="s">
        <v>66</v>
      </c>
      <c r="J6" s="113" t="s">
        <v>53</v>
      </c>
      <c r="K6" s="109">
        <v>52.6</v>
      </c>
      <c r="L6" s="109">
        <v>56.7</v>
      </c>
      <c r="M6" s="116">
        <v>4.24218215E9</v>
      </c>
      <c r="N6" s="117"/>
      <c r="O6" s="117"/>
      <c r="P6" s="117"/>
      <c r="Q6" s="117"/>
      <c r="R6" s="118">
        <v>0.14</v>
      </c>
      <c r="S6" s="117"/>
      <c r="T6" s="117" t="s">
        <v>73</v>
      </c>
      <c r="U6" s="119"/>
      <c r="V6" s="3"/>
      <c r="W6" s="3"/>
      <c r="X6" s="3"/>
      <c r="Y6" s="121" t="s">
        <v>83</v>
      </c>
      <c r="Z6" s="121" t="s">
        <v>10</v>
      </c>
    </row>
    <row r="7" hidden="1">
      <c r="A7" s="105">
        <v>3.0</v>
      </c>
      <c r="B7" s="106" t="s">
        <v>58</v>
      </c>
      <c r="C7" s="107" t="s">
        <v>85</v>
      </c>
      <c r="D7" s="108"/>
      <c r="E7" s="109" t="s">
        <v>62</v>
      </c>
      <c r="F7" s="110" t="s">
        <v>63</v>
      </c>
      <c r="G7" s="109">
        <v>17.0</v>
      </c>
      <c r="H7" s="109" t="s">
        <v>87</v>
      </c>
      <c r="I7" s="113" t="s">
        <v>66</v>
      </c>
      <c r="J7" s="113" t="s">
        <v>89</v>
      </c>
      <c r="K7" s="109">
        <v>34.7</v>
      </c>
      <c r="L7" s="109">
        <v>38.3</v>
      </c>
      <c r="M7" s="116">
        <v>2.136901054E9</v>
      </c>
      <c r="N7" s="117"/>
      <c r="O7" s="117"/>
      <c r="P7" s="117"/>
      <c r="Q7" s="117"/>
      <c r="R7" s="118">
        <v>0.14</v>
      </c>
      <c r="S7" s="117"/>
      <c r="T7" s="117" t="s">
        <v>95</v>
      </c>
      <c r="U7" s="119"/>
      <c r="V7" s="3"/>
      <c r="W7" s="3"/>
      <c r="X7" s="3"/>
      <c r="Y7" s="121" t="s">
        <v>96</v>
      </c>
      <c r="Z7" s="121" t="s">
        <v>10</v>
      </c>
    </row>
    <row r="8" hidden="1">
      <c r="A8" s="105">
        <v>4.0</v>
      </c>
      <c r="B8" s="106" t="s">
        <v>58</v>
      </c>
      <c r="C8" s="107" t="s">
        <v>97</v>
      </c>
      <c r="D8" s="108"/>
      <c r="E8" s="109" t="s">
        <v>62</v>
      </c>
      <c r="F8" s="110" t="s">
        <v>63</v>
      </c>
      <c r="G8" s="109">
        <v>22.0</v>
      </c>
      <c r="H8" s="109" t="s">
        <v>100</v>
      </c>
      <c r="I8" s="113" t="s">
        <v>66</v>
      </c>
      <c r="J8" s="113" t="s">
        <v>53</v>
      </c>
      <c r="K8" s="109">
        <v>53.9</v>
      </c>
      <c r="L8" s="109">
        <v>58.5</v>
      </c>
      <c r="M8" s="116">
        <v>4.560646563E9</v>
      </c>
      <c r="N8" s="117"/>
      <c r="O8" s="117"/>
      <c r="P8" s="117"/>
      <c r="Q8" s="117"/>
      <c r="R8" s="118">
        <v>0.14</v>
      </c>
      <c r="S8" s="117"/>
      <c r="T8" s="117" t="s">
        <v>73</v>
      </c>
      <c r="U8" s="119"/>
      <c r="V8" s="3"/>
      <c r="W8" s="3"/>
      <c r="X8" s="3"/>
      <c r="Y8" s="121" t="s">
        <v>57</v>
      </c>
      <c r="Z8" s="121" t="s">
        <v>10</v>
      </c>
    </row>
    <row r="9" hidden="1">
      <c r="A9" s="105">
        <v>5.0</v>
      </c>
      <c r="B9" s="106" t="s">
        <v>104</v>
      </c>
      <c r="C9" s="107" t="s">
        <v>85</v>
      </c>
      <c r="D9" s="108"/>
      <c r="E9" s="109" t="s">
        <v>62</v>
      </c>
      <c r="F9" s="109">
        <v>16.0</v>
      </c>
      <c r="G9" s="109">
        <v>20.0</v>
      </c>
      <c r="H9" s="109" t="s">
        <v>106</v>
      </c>
      <c r="I9" s="113" t="s">
        <v>66</v>
      </c>
      <c r="J9" s="113" t="s">
        <v>24</v>
      </c>
      <c r="K9" s="109">
        <v>66.4</v>
      </c>
      <c r="L9" s="109">
        <v>72.5</v>
      </c>
      <c r="M9" s="116">
        <v>4.777382825E9</v>
      </c>
      <c r="N9" s="117"/>
      <c r="O9" s="117"/>
      <c r="P9" s="117"/>
      <c r="Q9" s="117"/>
      <c r="R9" s="118">
        <v>0.14</v>
      </c>
      <c r="S9" s="117"/>
      <c r="T9" s="117" t="s">
        <v>108</v>
      </c>
      <c r="U9" s="119"/>
      <c r="V9" s="3"/>
      <c r="W9" s="3"/>
      <c r="X9" s="3"/>
      <c r="Y9" s="121" t="s">
        <v>96</v>
      </c>
      <c r="Z9" s="121" t="s">
        <v>10</v>
      </c>
    </row>
    <row r="10" hidden="1">
      <c r="A10" s="105">
        <v>6.0</v>
      </c>
      <c r="B10" s="106" t="s">
        <v>104</v>
      </c>
      <c r="C10" s="107" t="s">
        <v>97</v>
      </c>
      <c r="D10" s="108"/>
      <c r="E10" s="109" t="s">
        <v>62</v>
      </c>
      <c r="F10" s="109">
        <v>16.0</v>
      </c>
      <c r="G10" s="109">
        <v>25.0</v>
      </c>
      <c r="H10" s="109" t="s">
        <v>110</v>
      </c>
      <c r="I10" s="113" t="s">
        <v>66</v>
      </c>
      <c r="J10" s="113" t="s">
        <v>53</v>
      </c>
      <c r="K10" s="109">
        <v>58.0</v>
      </c>
      <c r="L10" s="109">
        <v>62.6</v>
      </c>
      <c r="M10" s="116">
        <v>5.486869417E9</v>
      </c>
      <c r="N10" s="117"/>
      <c r="O10" s="117"/>
      <c r="P10" s="117"/>
      <c r="Q10" s="117"/>
      <c r="R10" s="118">
        <v>0.14</v>
      </c>
      <c r="S10" s="117"/>
      <c r="T10" s="117" t="s">
        <v>108</v>
      </c>
      <c r="U10" s="119"/>
      <c r="V10" s="3"/>
      <c r="W10" s="3"/>
      <c r="X10" s="3"/>
      <c r="Y10" s="121" t="s">
        <v>113</v>
      </c>
      <c r="Z10" s="121" t="s">
        <v>10</v>
      </c>
    </row>
    <row r="11" hidden="1">
      <c r="A11" s="105">
        <v>7.0</v>
      </c>
      <c r="B11" s="106" t="s">
        <v>104</v>
      </c>
      <c r="C11" s="133" t="s">
        <v>117</v>
      </c>
      <c r="D11" s="108"/>
      <c r="E11" s="109" t="s">
        <v>62</v>
      </c>
      <c r="F11" s="109">
        <v>16.0</v>
      </c>
      <c r="G11" s="109">
        <v>31.0</v>
      </c>
      <c r="H11" s="109" t="s">
        <v>119</v>
      </c>
      <c r="I11" s="113" t="s">
        <v>66</v>
      </c>
      <c r="J11" s="113" t="s">
        <v>53</v>
      </c>
      <c r="K11" s="109">
        <v>50.0</v>
      </c>
      <c r="L11" s="109">
        <v>54.2</v>
      </c>
      <c r="M11" s="116">
        <v>5.223851509E9</v>
      </c>
      <c r="N11" s="117"/>
      <c r="O11" s="117"/>
      <c r="P11" s="117"/>
      <c r="Q11" s="117"/>
      <c r="R11" s="118">
        <v>0.14</v>
      </c>
      <c r="S11" s="117"/>
      <c r="T11" s="117" t="s">
        <v>108</v>
      </c>
      <c r="U11" s="119"/>
      <c r="V11" s="3"/>
      <c r="W11" s="3"/>
      <c r="X11" s="3"/>
      <c r="Y11" s="121" t="s">
        <v>123</v>
      </c>
      <c r="Z11" s="121" t="s">
        <v>10</v>
      </c>
    </row>
    <row r="12" hidden="1">
      <c r="A12" s="105"/>
      <c r="B12" s="106" t="s">
        <v>124</v>
      </c>
      <c r="C12" s="107" t="s">
        <v>77</v>
      </c>
      <c r="D12" s="108"/>
      <c r="E12" s="109" t="s">
        <v>62</v>
      </c>
      <c r="F12" s="109">
        <v>23.0</v>
      </c>
      <c r="G12" s="110" t="s">
        <v>126</v>
      </c>
      <c r="H12" s="109" t="s">
        <v>127</v>
      </c>
      <c r="I12" s="113" t="s">
        <v>66</v>
      </c>
      <c r="J12" s="113" t="s">
        <v>24</v>
      </c>
      <c r="K12" s="109">
        <v>72.9</v>
      </c>
      <c r="L12" s="109">
        <v>80.5</v>
      </c>
      <c r="M12" s="116">
        <v>6.07236169E9</v>
      </c>
      <c r="N12" s="117"/>
      <c r="O12" s="117"/>
      <c r="P12" s="117"/>
      <c r="Q12" s="117"/>
      <c r="R12" s="118">
        <v>0.14</v>
      </c>
      <c r="S12" s="117"/>
      <c r="T12" s="117" t="s">
        <v>108</v>
      </c>
      <c r="U12" s="117"/>
      <c r="V12" s="3"/>
      <c r="W12" s="3"/>
      <c r="X12" s="3"/>
      <c r="Y12" s="121" t="s">
        <v>130</v>
      </c>
      <c r="Z12" s="121" t="s">
        <v>10</v>
      </c>
    </row>
    <row r="13" hidden="1">
      <c r="A13" s="105"/>
      <c r="B13" s="106" t="s">
        <v>124</v>
      </c>
      <c r="C13" s="135"/>
      <c r="D13" s="108"/>
      <c r="E13" s="109" t="s">
        <v>62</v>
      </c>
      <c r="F13" s="109">
        <v>23.0</v>
      </c>
      <c r="G13" s="109">
        <v>16.0</v>
      </c>
      <c r="H13" s="109" t="s">
        <v>134</v>
      </c>
      <c r="I13" s="113" t="s">
        <v>66</v>
      </c>
      <c r="J13" s="113" t="s">
        <v>89</v>
      </c>
      <c r="K13" s="109">
        <v>31.1</v>
      </c>
      <c r="L13" s="109">
        <v>34.7</v>
      </c>
      <c r="M13" s="116">
        <v>2.31233815E9</v>
      </c>
      <c r="N13" s="117"/>
      <c r="O13" s="117"/>
      <c r="P13" s="117"/>
      <c r="Q13" s="117"/>
      <c r="R13" s="118">
        <v>0.14</v>
      </c>
      <c r="S13" s="117"/>
      <c r="T13" s="117" t="s">
        <v>108</v>
      </c>
      <c r="U13" s="117"/>
      <c r="V13" s="3"/>
      <c r="W13" s="3"/>
      <c r="X13" s="3"/>
      <c r="Y13" s="121" t="s">
        <v>138</v>
      </c>
      <c r="Z13" s="121" t="s">
        <v>10</v>
      </c>
    </row>
    <row r="14" hidden="1">
      <c r="A14" s="105"/>
      <c r="B14" s="106" t="s">
        <v>124</v>
      </c>
      <c r="C14" s="135"/>
      <c r="D14" s="108"/>
      <c r="E14" s="109" t="s">
        <v>62</v>
      </c>
      <c r="F14" s="109">
        <v>23.0</v>
      </c>
      <c r="G14" s="109">
        <v>18.0</v>
      </c>
      <c r="H14" s="109" t="s">
        <v>140</v>
      </c>
      <c r="I14" s="113" t="s">
        <v>66</v>
      </c>
      <c r="J14" s="113" t="s">
        <v>53</v>
      </c>
      <c r="K14" s="109">
        <v>57.9</v>
      </c>
      <c r="L14" s="109">
        <v>62.6</v>
      </c>
      <c r="M14" s="116">
        <v>3.965287056E9</v>
      </c>
      <c r="N14" s="117"/>
      <c r="O14" s="117"/>
      <c r="P14" s="117"/>
      <c r="Q14" s="117"/>
      <c r="R14" s="118">
        <v>0.14</v>
      </c>
      <c r="S14" s="117"/>
      <c r="T14" s="117" t="s">
        <v>95</v>
      </c>
      <c r="U14" s="117"/>
      <c r="V14" s="3"/>
      <c r="W14" s="3"/>
      <c r="X14" s="3"/>
      <c r="Y14" s="121" t="s">
        <v>144</v>
      </c>
      <c r="Z14" s="121" t="s">
        <v>10</v>
      </c>
    </row>
    <row r="15" hidden="1">
      <c r="A15" s="105"/>
      <c r="B15" s="106"/>
      <c r="C15" s="133"/>
      <c r="D15" s="108"/>
      <c r="E15" s="109" t="s">
        <v>62</v>
      </c>
      <c r="F15" s="109">
        <v>19.0</v>
      </c>
      <c r="G15" s="109">
        <v>15.0</v>
      </c>
      <c r="H15" s="109" t="s">
        <v>146</v>
      </c>
      <c r="I15" s="113" t="s">
        <v>66</v>
      </c>
      <c r="J15" s="113" t="s">
        <v>89</v>
      </c>
      <c r="K15" s="109">
        <v>34.3</v>
      </c>
      <c r="L15" s="109">
        <v>38.5</v>
      </c>
      <c r="M15" s="116">
        <v>2.269742457E9</v>
      </c>
      <c r="N15" s="117"/>
      <c r="O15" s="117"/>
      <c r="P15" s="117"/>
      <c r="Q15" s="117"/>
      <c r="R15" s="118">
        <v>0.14</v>
      </c>
      <c r="S15" s="117"/>
      <c r="T15" s="117" t="s">
        <v>108</v>
      </c>
      <c r="U15" s="117"/>
      <c r="V15" s="3"/>
      <c r="W15" s="3"/>
      <c r="X15" s="3"/>
      <c r="Y15" s="121" t="s">
        <v>150</v>
      </c>
      <c r="Z15" s="121" t="s">
        <v>10</v>
      </c>
    </row>
    <row r="16" hidden="1">
      <c r="A16" s="136"/>
      <c r="B16" s="137"/>
      <c r="C16" s="138"/>
      <c r="D16" s="139"/>
      <c r="E16" s="140" t="s">
        <v>62</v>
      </c>
      <c r="F16" s="141" t="s">
        <v>63</v>
      </c>
      <c r="G16" s="141" t="s">
        <v>154</v>
      </c>
      <c r="H16" s="140" t="s">
        <v>156</v>
      </c>
      <c r="I16" s="142" t="s">
        <v>66</v>
      </c>
      <c r="J16" s="142" t="s">
        <v>53</v>
      </c>
      <c r="K16" s="140" t="s">
        <v>157</v>
      </c>
      <c r="L16" s="140" t="s">
        <v>158</v>
      </c>
      <c r="M16" s="143">
        <v>5.434203711E9</v>
      </c>
      <c r="N16" s="144"/>
      <c r="O16" s="144"/>
      <c r="P16" s="144" t="s">
        <v>70</v>
      </c>
      <c r="Q16" s="145">
        <v>1.0E8</v>
      </c>
      <c r="R16" s="146">
        <v>0.145</v>
      </c>
      <c r="S16" s="147" t="s">
        <v>156</v>
      </c>
      <c r="T16" s="144"/>
      <c r="U16" s="144"/>
      <c r="V16" s="148" t="s">
        <v>167</v>
      </c>
      <c r="W16" s="27"/>
      <c r="X16" s="27"/>
      <c r="Y16" s="149"/>
      <c r="Z16" s="149"/>
      <c r="AA16" s="45"/>
      <c r="AB16" s="45"/>
    </row>
    <row r="17" hidden="1">
      <c r="A17" s="105"/>
      <c r="B17" s="106"/>
      <c r="C17" s="107"/>
      <c r="D17" s="108"/>
      <c r="E17" s="109" t="s">
        <v>62</v>
      </c>
      <c r="F17" s="150" t="s">
        <v>63</v>
      </c>
      <c r="G17" s="150" t="s">
        <v>170</v>
      </c>
      <c r="H17" s="109" t="s">
        <v>171</v>
      </c>
      <c r="I17" s="113" t="s">
        <v>66</v>
      </c>
      <c r="J17" s="113" t="s">
        <v>53</v>
      </c>
      <c r="K17" s="109" t="s">
        <v>76</v>
      </c>
      <c r="L17" s="109" t="s">
        <v>161</v>
      </c>
      <c r="M17" s="116">
        <v>5.42414037E9</v>
      </c>
      <c r="N17" s="117"/>
      <c r="O17" s="117"/>
      <c r="P17" s="117" t="s">
        <v>70</v>
      </c>
      <c r="Q17" s="152">
        <v>1.0E8</v>
      </c>
      <c r="R17" s="146">
        <v>0.145</v>
      </c>
      <c r="S17" s="153" t="s">
        <v>171</v>
      </c>
      <c r="T17" s="117"/>
      <c r="U17" s="117"/>
      <c r="V17" s="154" t="s">
        <v>167</v>
      </c>
      <c r="W17" s="155"/>
      <c r="X17" s="155"/>
      <c r="Y17" s="156"/>
      <c r="Z17" s="156"/>
      <c r="AA17" s="157"/>
      <c r="AB17" s="157"/>
    </row>
    <row r="18" hidden="1">
      <c r="A18" s="136"/>
      <c r="B18" s="137"/>
      <c r="C18" s="138"/>
      <c r="D18" s="139"/>
      <c r="E18" s="140" t="s">
        <v>62</v>
      </c>
      <c r="F18" s="141" t="s">
        <v>63</v>
      </c>
      <c r="G18" s="141" t="s">
        <v>177</v>
      </c>
      <c r="H18" s="140" t="s">
        <v>178</v>
      </c>
      <c r="I18" s="142" t="s">
        <v>66</v>
      </c>
      <c r="J18" s="142" t="s">
        <v>53</v>
      </c>
      <c r="K18" s="140" t="s">
        <v>180</v>
      </c>
      <c r="L18" s="140" t="s">
        <v>181</v>
      </c>
      <c r="M18" s="143">
        <v>4.876317188E9</v>
      </c>
      <c r="N18" s="144"/>
      <c r="O18" s="144"/>
      <c r="P18" s="144" t="s">
        <v>70</v>
      </c>
      <c r="Q18" s="145">
        <v>1.0E8</v>
      </c>
      <c r="R18" s="146">
        <v>0.145</v>
      </c>
      <c r="S18" s="147" t="s">
        <v>178</v>
      </c>
      <c r="T18" s="144"/>
      <c r="U18" s="144"/>
      <c r="V18" s="148" t="s">
        <v>167</v>
      </c>
      <c r="W18" s="27"/>
      <c r="X18" s="27"/>
      <c r="Y18" s="149"/>
      <c r="Z18" s="149"/>
      <c r="AA18" s="45"/>
      <c r="AB18" s="45"/>
    </row>
    <row r="19" hidden="1">
      <c r="A19" s="136"/>
      <c r="B19" s="137"/>
      <c r="C19" s="138"/>
      <c r="D19" s="139"/>
      <c r="E19" s="140" t="s">
        <v>62</v>
      </c>
      <c r="F19" s="141" t="s">
        <v>126</v>
      </c>
      <c r="G19" s="141" t="s">
        <v>187</v>
      </c>
      <c r="H19" s="140" t="s">
        <v>188</v>
      </c>
      <c r="I19" s="142" t="s">
        <v>66</v>
      </c>
      <c r="J19" s="142" t="s">
        <v>53</v>
      </c>
      <c r="K19" s="140" t="s">
        <v>190</v>
      </c>
      <c r="L19" s="140" t="s">
        <v>191</v>
      </c>
      <c r="M19" s="143">
        <v>5.240581022E9</v>
      </c>
      <c r="N19" s="144"/>
      <c r="O19" s="144"/>
      <c r="P19" s="144" t="s">
        <v>70</v>
      </c>
      <c r="Q19" s="145">
        <v>1.0E8</v>
      </c>
      <c r="R19" s="146">
        <v>0.145</v>
      </c>
      <c r="S19" s="147" t="s">
        <v>188</v>
      </c>
      <c r="T19" s="144"/>
      <c r="U19" s="144"/>
      <c r="V19" s="148" t="s">
        <v>167</v>
      </c>
      <c r="W19" s="27"/>
      <c r="X19" s="27"/>
      <c r="Y19" s="149"/>
      <c r="Z19" s="149"/>
      <c r="AA19" s="45"/>
      <c r="AB19" s="45"/>
    </row>
    <row r="20" hidden="1">
      <c r="A20" s="136"/>
      <c r="B20" s="137" t="s">
        <v>124</v>
      </c>
      <c r="C20" s="138"/>
      <c r="D20" s="139"/>
      <c r="E20" s="140" t="s">
        <v>62</v>
      </c>
      <c r="F20" s="140">
        <v>23.0</v>
      </c>
      <c r="G20" s="158" t="s">
        <v>154</v>
      </c>
      <c r="H20" s="140" t="s">
        <v>194</v>
      </c>
      <c r="I20" s="142" t="s">
        <v>66</v>
      </c>
      <c r="J20" s="142" t="s">
        <v>53</v>
      </c>
      <c r="K20" s="140">
        <v>54.0</v>
      </c>
      <c r="L20" s="140">
        <v>59.1</v>
      </c>
      <c r="M20" s="143">
        <v>6.111553493E9</v>
      </c>
      <c r="N20" s="144"/>
      <c r="O20" s="144"/>
      <c r="P20" s="144" t="s">
        <v>195</v>
      </c>
      <c r="Q20" s="144" t="s">
        <v>70</v>
      </c>
      <c r="R20" s="159">
        <v>0.12</v>
      </c>
      <c r="S20" s="147" t="s">
        <v>194</v>
      </c>
      <c r="T20" s="144" t="s">
        <v>95</v>
      </c>
      <c r="U20" s="160" t="s">
        <v>199</v>
      </c>
      <c r="V20" s="148" t="s">
        <v>167</v>
      </c>
      <c r="W20" s="27"/>
      <c r="X20" s="27"/>
      <c r="Y20" s="149" t="s">
        <v>200</v>
      </c>
      <c r="Z20" s="149" t="s">
        <v>10</v>
      </c>
      <c r="AA20" s="45"/>
      <c r="AB20" s="45"/>
    </row>
    <row r="21" hidden="1">
      <c r="A21" s="77"/>
      <c r="B21" s="78"/>
      <c r="C21" s="161"/>
      <c r="D21" s="139"/>
      <c r="E21" s="85" t="s">
        <v>62</v>
      </c>
      <c r="F21" s="87" t="s">
        <v>63</v>
      </c>
      <c r="G21" s="85">
        <v>26.0</v>
      </c>
      <c r="H21" s="85" t="s">
        <v>204</v>
      </c>
      <c r="I21" s="89" t="s">
        <v>66</v>
      </c>
      <c r="J21" s="89" t="s">
        <v>53</v>
      </c>
      <c r="K21" s="85" t="s">
        <v>145</v>
      </c>
      <c r="L21" s="91"/>
      <c r="M21" s="91">
        <v>4.605737767E9</v>
      </c>
      <c r="N21" s="93"/>
      <c r="O21" s="93"/>
      <c r="P21" s="93" t="s">
        <v>195</v>
      </c>
      <c r="Q21" s="144" t="s">
        <v>70</v>
      </c>
      <c r="R21" s="159">
        <v>0.12</v>
      </c>
      <c r="S21" s="99" t="s">
        <v>204</v>
      </c>
      <c r="T21" s="100" t="s">
        <v>73</v>
      </c>
      <c r="U21" s="160" t="s">
        <v>199</v>
      </c>
      <c r="V21" s="148" t="s">
        <v>167</v>
      </c>
      <c r="W21" s="3"/>
      <c r="X21" s="3"/>
    </row>
    <row r="22">
      <c r="B22" s="162"/>
      <c r="C22" s="162"/>
      <c r="D22" s="162"/>
      <c r="E22" s="50" t="s">
        <v>211</v>
      </c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2"/>
      <c r="V22" s="3"/>
      <c r="W22" s="3"/>
      <c r="X22" s="3"/>
      <c r="Y22" s="27"/>
      <c r="Z22" s="27"/>
      <c r="AA22" s="27"/>
      <c r="AB22" s="27"/>
    </row>
    <row r="23">
      <c r="A23" s="54" t="s">
        <v>5</v>
      </c>
      <c r="B23" s="163" t="s">
        <v>32</v>
      </c>
      <c r="C23" s="164" t="s">
        <v>34</v>
      </c>
      <c r="D23" s="165"/>
      <c r="E23" s="165" t="s">
        <v>36</v>
      </c>
      <c r="F23" s="165" t="s">
        <v>37</v>
      </c>
      <c r="G23" s="165" t="s">
        <v>38</v>
      </c>
      <c r="H23" s="165" t="s">
        <v>39</v>
      </c>
      <c r="I23" s="165" t="s">
        <v>40</v>
      </c>
      <c r="J23" s="165" t="s">
        <v>41</v>
      </c>
      <c r="K23" s="165" t="s">
        <v>42</v>
      </c>
      <c r="L23" s="166" t="s">
        <v>43</v>
      </c>
      <c r="M23" s="166" t="s">
        <v>18</v>
      </c>
      <c r="N23" s="167" t="s">
        <v>25</v>
      </c>
      <c r="O23" s="167" t="s">
        <v>219</v>
      </c>
      <c r="P23" s="168" t="s">
        <v>45</v>
      </c>
      <c r="Q23" s="51"/>
      <c r="R23" s="65"/>
      <c r="S23" s="169" t="s">
        <v>46</v>
      </c>
      <c r="T23" s="169" t="s">
        <v>47</v>
      </c>
      <c r="U23" s="67" t="s">
        <v>48</v>
      </c>
      <c r="V23" s="3"/>
      <c r="W23" s="3"/>
      <c r="X23" s="3"/>
      <c r="Y23" s="27"/>
      <c r="Z23" s="27"/>
      <c r="AA23" s="27"/>
      <c r="AB23" s="27"/>
    </row>
    <row r="24" ht="25.5" customHeight="1">
      <c r="A24" s="69"/>
      <c r="B24" s="170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72" t="s">
        <v>54</v>
      </c>
      <c r="Q24" s="72" t="s">
        <v>55</v>
      </c>
      <c r="R24" s="172" t="s">
        <v>56</v>
      </c>
      <c r="S24" s="173"/>
      <c r="T24" s="173"/>
      <c r="U24" s="174"/>
      <c r="V24" s="3"/>
      <c r="W24" s="3"/>
      <c r="X24" s="3"/>
      <c r="Y24" s="27"/>
      <c r="Z24" s="175">
        <f>COUNTif(Z100:Z158,"Đã bán")</f>
        <v>15</v>
      </c>
      <c r="AA24" s="27"/>
      <c r="AB24" s="27"/>
    </row>
    <row r="25" hidden="1">
      <c r="A25" s="176"/>
      <c r="B25" s="177"/>
      <c r="C25" s="178"/>
      <c r="D25" s="179"/>
      <c r="E25" s="180" t="s">
        <v>151</v>
      </c>
      <c r="F25" s="180" t="s">
        <v>228</v>
      </c>
      <c r="G25" s="180">
        <v>2.0</v>
      </c>
      <c r="H25" s="180" t="s">
        <v>230</v>
      </c>
      <c r="I25" s="182" t="s">
        <v>66</v>
      </c>
      <c r="J25" s="182" t="s">
        <v>53</v>
      </c>
      <c r="K25" s="180">
        <v>58.1</v>
      </c>
      <c r="L25" s="183">
        <v>62.6</v>
      </c>
      <c r="M25" s="185">
        <v>4.799270635E9</v>
      </c>
      <c r="N25" s="185">
        <v>4.655292516E9</v>
      </c>
      <c r="O25" s="186">
        <v>3.986559746E9</v>
      </c>
      <c r="P25" s="187" t="s">
        <v>233</v>
      </c>
      <c r="Q25" s="187" t="s">
        <v>195</v>
      </c>
      <c r="R25" s="188">
        <v>0.13</v>
      </c>
      <c r="S25" s="189" t="s">
        <v>230</v>
      </c>
      <c r="T25" s="190" t="s">
        <v>108</v>
      </c>
      <c r="U25" s="191"/>
      <c r="V25" s="3"/>
      <c r="W25" s="3"/>
      <c r="X25" s="3"/>
    </row>
    <row r="26" hidden="1">
      <c r="A26" s="176"/>
      <c r="B26" s="177"/>
      <c r="C26" s="178"/>
      <c r="D26" s="179"/>
      <c r="E26" s="180" t="s">
        <v>151</v>
      </c>
      <c r="F26" s="180" t="s">
        <v>228</v>
      </c>
      <c r="G26" s="180">
        <v>9.0</v>
      </c>
      <c r="H26" s="180" t="s">
        <v>242</v>
      </c>
      <c r="I26" s="182" t="s">
        <v>66</v>
      </c>
      <c r="J26" s="182" t="s">
        <v>24</v>
      </c>
      <c r="K26" s="180">
        <v>75.3</v>
      </c>
      <c r="L26" s="183">
        <v>81.2</v>
      </c>
      <c r="M26" s="185">
        <v>6.328376014E9</v>
      </c>
      <c r="N26" s="185">
        <v>6.138524734E9</v>
      </c>
      <c r="O26" s="193">
        <v>5.256725656E9</v>
      </c>
      <c r="P26" s="187" t="s">
        <v>233</v>
      </c>
      <c r="Q26" s="187" t="s">
        <v>195</v>
      </c>
      <c r="R26" s="188">
        <v>0.13</v>
      </c>
      <c r="S26" s="189" t="s">
        <v>242</v>
      </c>
      <c r="T26" s="190" t="s">
        <v>108</v>
      </c>
      <c r="U26" s="191"/>
      <c r="V26" s="3"/>
      <c r="W26" s="3"/>
      <c r="X26" s="3"/>
      <c r="Y26" s="3"/>
    </row>
    <row r="27" hidden="1">
      <c r="A27" s="133"/>
      <c r="B27" s="194"/>
      <c r="C27" s="195"/>
      <c r="D27" s="196"/>
      <c r="E27" s="109" t="s">
        <v>151</v>
      </c>
      <c r="F27" s="109" t="s">
        <v>228</v>
      </c>
      <c r="G27" s="109">
        <v>18.0</v>
      </c>
      <c r="H27" s="109" t="s">
        <v>249</v>
      </c>
      <c r="I27" s="113" t="s">
        <v>66</v>
      </c>
      <c r="J27" s="113" t="s">
        <v>89</v>
      </c>
      <c r="K27" s="109">
        <v>34.5</v>
      </c>
      <c r="L27" s="197">
        <v>38.3</v>
      </c>
      <c r="M27" s="198">
        <v>2.201595595E9</v>
      </c>
      <c r="N27" s="198">
        <v>2.135547727E9</v>
      </c>
      <c r="O27" s="199">
        <v>1.828776296E9</v>
      </c>
      <c r="P27" s="200" t="s">
        <v>233</v>
      </c>
      <c r="Q27" s="200" t="s">
        <v>195</v>
      </c>
      <c r="R27" s="118">
        <v>0.13</v>
      </c>
      <c r="S27" s="200"/>
      <c r="T27" s="117" t="s">
        <v>108</v>
      </c>
      <c r="U27" s="119"/>
      <c r="V27" s="3"/>
      <c r="W27" s="3" t="s">
        <v>254</v>
      </c>
      <c r="X27" s="3"/>
      <c r="Y27" s="3"/>
      <c r="Z27" s="121" t="s">
        <v>10</v>
      </c>
    </row>
    <row r="28" hidden="1">
      <c r="A28" s="176"/>
      <c r="B28" s="177"/>
      <c r="C28" s="178"/>
      <c r="D28" s="179"/>
      <c r="E28" s="180" t="s">
        <v>151</v>
      </c>
      <c r="F28" s="180" t="s">
        <v>228</v>
      </c>
      <c r="G28" s="180">
        <v>20.0</v>
      </c>
      <c r="H28" s="180" t="s">
        <v>256</v>
      </c>
      <c r="I28" s="182" t="s">
        <v>66</v>
      </c>
      <c r="J28" s="182" t="s">
        <v>53</v>
      </c>
      <c r="K28" s="180">
        <v>53.7</v>
      </c>
      <c r="L28" s="183">
        <v>58.5</v>
      </c>
      <c r="M28" s="185">
        <v>3.172014965E9</v>
      </c>
      <c r="N28" s="185">
        <v>3.076854516E9</v>
      </c>
      <c r="O28" s="193">
        <v>2.634864365E9</v>
      </c>
      <c r="P28" s="187" t="s">
        <v>233</v>
      </c>
      <c r="Q28" s="187" t="s">
        <v>195</v>
      </c>
      <c r="R28" s="188">
        <v>0.13</v>
      </c>
      <c r="S28" s="189" t="s">
        <v>256</v>
      </c>
      <c r="T28" s="190" t="s">
        <v>108</v>
      </c>
      <c r="U28" s="191"/>
      <c r="V28" s="3"/>
      <c r="W28" s="3"/>
      <c r="X28" s="3"/>
      <c r="Y28" s="3"/>
    </row>
    <row r="29" hidden="1">
      <c r="A29" s="176"/>
      <c r="B29" s="177"/>
      <c r="C29" s="178"/>
      <c r="D29" s="179"/>
      <c r="E29" s="180" t="s">
        <v>151</v>
      </c>
      <c r="F29" s="180">
        <v>5.0</v>
      </c>
      <c r="G29" s="180">
        <v>7.0</v>
      </c>
      <c r="H29" s="180" t="s">
        <v>261</v>
      </c>
      <c r="I29" s="182" t="s">
        <v>66</v>
      </c>
      <c r="J29" s="182" t="s">
        <v>89</v>
      </c>
      <c r="K29" s="180">
        <v>31.2</v>
      </c>
      <c r="L29" s="183">
        <v>34.7</v>
      </c>
      <c r="M29" s="185">
        <v>2.899844341E9</v>
      </c>
      <c r="N29" s="185">
        <v>2.812849011E9</v>
      </c>
      <c r="O29" s="186">
        <v>2.40878325E9</v>
      </c>
      <c r="P29" s="187" t="s">
        <v>233</v>
      </c>
      <c r="Q29" s="187" t="s">
        <v>195</v>
      </c>
      <c r="R29" s="188">
        <v>0.13</v>
      </c>
      <c r="S29" s="189" t="s">
        <v>261</v>
      </c>
      <c r="T29" s="190" t="s">
        <v>108</v>
      </c>
      <c r="U29" s="191"/>
      <c r="V29" s="3"/>
      <c r="W29" s="3"/>
      <c r="X29" s="3"/>
      <c r="Y29" s="3"/>
    </row>
    <row r="30" hidden="1">
      <c r="A30" s="133"/>
      <c r="B30" s="106"/>
      <c r="C30" s="107"/>
      <c r="D30" s="196"/>
      <c r="E30" s="109" t="s">
        <v>151</v>
      </c>
      <c r="F30" s="109">
        <v>5.0</v>
      </c>
      <c r="G30" s="109">
        <v>10.0</v>
      </c>
      <c r="H30" s="109" t="s">
        <v>267</v>
      </c>
      <c r="I30" s="113" t="s">
        <v>66</v>
      </c>
      <c r="J30" s="113" t="s">
        <v>53</v>
      </c>
      <c r="K30" s="109">
        <v>48.8</v>
      </c>
      <c r="L30" s="197">
        <v>53.5</v>
      </c>
      <c r="M30" s="198">
        <v>3.04827435E9</v>
      </c>
      <c r="N30" s="198">
        <v>2.95682612E9</v>
      </c>
      <c r="O30" s="199">
        <v>2.532078047E9</v>
      </c>
      <c r="P30" s="200" t="s">
        <v>233</v>
      </c>
      <c r="Q30" s="200" t="s">
        <v>195</v>
      </c>
      <c r="R30" s="118">
        <v>0.13</v>
      </c>
      <c r="S30" s="201" t="s">
        <v>267</v>
      </c>
      <c r="T30" s="117" t="s">
        <v>108</v>
      </c>
      <c r="U30" s="119"/>
      <c r="V30" s="103"/>
      <c r="W30" s="103" t="s">
        <v>272</v>
      </c>
      <c r="X30" s="3"/>
      <c r="Y30" s="3"/>
    </row>
    <row r="31" hidden="1">
      <c r="A31" s="77"/>
      <c r="B31" s="78"/>
      <c r="C31" s="161"/>
      <c r="D31" s="139"/>
      <c r="E31" s="85" t="s">
        <v>274</v>
      </c>
      <c r="F31" s="85" t="s">
        <v>275</v>
      </c>
      <c r="G31" s="85" t="s">
        <v>63</v>
      </c>
      <c r="H31" s="85" t="s">
        <v>277</v>
      </c>
      <c r="I31" s="89" t="s">
        <v>66</v>
      </c>
      <c r="J31" s="89" t="s">
        <v>53</v>
      </c>
      <c r="K31" s="85" t="s">
        <v>222</v>
      </c>
      <c r="L31" s="202" t="s">
        <v>161</v>
      </c>
      <c r="M31" s="91">
        <v>4.621180428E9</v>
      </c>
      <c r="N31" s="93"/>
      <c r="O31" s="93"/>
      <c r="P31" s="144" t="s">
        <v>70</v>
      </c>
      <c r="Q31" s="145">
        <v>1.0E8</v>
      </c>
      <c r="R31" s="146">
        <v>0.145</v>
      </c>
      <c r="S31" s="99" t="s">
        <v>277</v>
      </c>
      <c r="T31" s="100"/>
      <c r="U31" s="100"/>
      <c r="V31" s="148" t="s">
        <v>167</v>
      </c>
      <c r="W31" s="3"/>
      <c r="X31" s="3"/>
    </row>
    <row r="32" hidden="1">
      <c r="A32" s="105"/>
      <c r="B32" s="106"/>
      <c r="C32" s="107"/>
      <c r="D32" s="108"/>
      <c r="E32" s="109" t="s">
        <v>274</v>
      </c>
      <c r="F32" s="109" t="s">
        <v>35</v>
      </c>
      <c r="G32" s="109" t="s">
        <v>283</v>
      </c>
      <c r="H32" s="109" t="s">
        <v>284</v>
      </c>
      <c r="I32" s="113" t="s">
        <v>66</v>
      </c>
      <c r="J32" s="113" t="s">
        <v>53</v>
      </c>
      <c r="K32" s="109" t="s">
        <v>222</v>
      </c>
      <c r="L32" s="204" t="s">
        <v>161</v>
      </c>
      <c r="M32" s="116">
        <v>3.666977872E9</v>
      </c>
      <c r="N32" s="200"/>
      <c r="O32" s="200"/>
      <c r="P32" s="117" t="s">
        <v>70</v>
      </c>
      <c r="Q32" s="152">
        <v>1.0E8</v>
      </c>
      <c r="R32" s="205">
        <v>0.145</v>
      </c>
      <c r="S32" s="201" t="s">
        <v>284</v>
      </c>
      <c r="T32" s="117"/>
      <c r="U32" s="117"/>
      <c r="V32" s="154" t="s">
        <v>167</v>
      </c>
      <c r="W32" s="155"/>
      <c r="X32" s="155"/>
      <c r="Y32" s="157"/>
      <c r="Z32" s="157"/>
      <c r="AA32" s="157"/>
      <c r="AB32" s="157"/>
    </row>
    <row r="33" hidden="1">
      <c r="A33" s="105"/>
      <c r="B33" s="106"/>
      <c r="C33" s="107"/>
      <c r="D33" s="108"/>
      <c r="E33" s="109" t="s">
        <v>274</v>
      </c>
      <c r="F33" s="109" t="s">
        <v>35</v>
      </c>
      <c r="G33" s="109" t="s">
        <v>290</v>
      </c>
      <c r="H33" s="109" t="s">
        <v>291</v>
      </c>
      <c r="I33" s="113" t="s">
        <v>66</v>
      </c>
      <c r="J33" s="113" t="s">
        <v>53</v>
      </c>
      <c r="K33" s="109" t="s">
        <v>157</v>
      </c>
      <c r="L33" s="204" t="s">
        <v>161</v>
      </c>
      <c r="M33" s="116">
        <v>3.690773598E9</v>
      </c>
      <c r="N33" s="200"/>
      <c r="O33" s="200"/>
      <c r="P33" s="117" t="s">
        <v>70</v>
      </c>
      <c r="Q33" s="152">
        <v>1.0E8</v>
      </c>
      <c r="R33" s="205">
        <v>0.145</v>
      </c>
      <c r="S33" s="201" t="s">
        <v>291</v>
      </c>
      <c r="T33" s="117"/>
      <c r="U33" s="117"/>
      <c r="V33" s="154" t="s">
        <v>167</v>
      </c>
      <c r="W33" s="210"/>
      <c r="X33" s="155"/>
      <c r="Y33" s="157"/>
      <c r="Z33" s="157"/>
      <c r="AA33" s="157"/>
      <c r="AB33" s="157"/>
    </row>
    <row r="34" hidden="1">
      <c r="A34" s="77"/>
      <c r="B34" s="78"/>
      <c r="C34" s="161"/>
      <c r="D34" s="139"/>
      <c r="E34" s="85" t="s">
        <v>274</v>
      </c>
      <c r="F34" s="85" t="s">
        <v>296</v>
      </c>
      <c r="G34" s="85" t="s">
        <v>64</v>
      </c>
      <c r="H34" s="85" t="s">
        <v>297</v>
      </c>
      <c r="I34" s="89" t="s">
        <v>66</v>
      </c>
      <c r="J34" s="89" t="s">
        <v>53</v>
      </c>
      <c r="K34" s="85" t="s">
        <v>190</v>
      </c>
      <c r="L34" s="202" t="s">
        <v>191</v>
      </c>
      <c r="M34" s="91">
        <v>5.498378341E9</v>
      </c>
      <c r="N34" s="93"/>
      <c r="O34" s="93"/>
      <c r="P34" s="144" t="s">
        <v>70</v>
      </c>
      <c r="Q34" s="145">
        <v>1.0E8</v>
      </c>
      <c r="R34" s="146">
        <v>0.145</v>
      </c>
      <c r="S34" s="99" t="s">
        <v>297</v>
      </c>
      <c r="T34" s="100"/>
      <c r="U34" s="100"/>
      <c r="V34" s="148" t="s">
        <v>167</v>
      </c>
      <c r="W34" s="3"/>
      <c r="X34" s="3"/>
    </row>
    <row r="35" hidden="1">
      <c r="A35" s="77"/>
      <c r="B35" s="78"/>
      <c r="C35" s="161"/>
      <c r="D35" s="139"/>
      <c r="E35" s="85" t="s">
        <v>274</v>
      </c>
      <c r="F35" s="85" t="s">
        <v>296</v>
      </c>
      <c r="G35" s="85" t="s">
        <v>154</v>
      </c>
      <c r="H35" s="85" t="s">
        <v>304</v>
      </c>
      <c r="I35" s="89" t="s">
        <v>66</v>
      </c>
      <c r="J35" s="89" t="s">
        <v>53</v>
      </c>
      <c r="K35" s="85" t="s">
        <v>209</v>
      </c>
      <c r="L35" s="202" t="s">
        <v>191</v>
      </c>
      <c r="M35" s="91">
        <v>5.507858303E9</v>
      </c>
      <c r="N35" s="93"/>
      <c r="O35" s="93"/>
      <c r="P35" s="144" t="s">
        <v>70</v>
      </c>
      <c r="Q35" s="145">
        <v>1.0E8</v>
      </c>
      <c r="R35" s="146">
        <v>0.145</v>
      </c>
      <c r="S35" s="99" t="s">
        <v>304</v>
      </c>
      <c r="T35" s="100"/>
      <c r="U35" s="100"/>
      <c r="V35" s="148" t="s">
        <v>167</v>
      </c>
      <c r="W35" s="3"/>
      <c r="X35" s="3"/>
    </row>
    <row r="36" hidden="1">
      <c r="A36" s="77"/>
      <c r="B36" s="78"/>
      <c r="C36" s="161"/>
      <c r="D36" s="139"/>
      <c r="E36" s="85" t="s">
        <v>274</v>
      </c>
      <c r="F36" s="85" t="s">
        <v>296</v>
      </c>
      <c r="G36" s="85" t="s">
        <v>311</v>
      </c>
      <c r="H36" s="85" t="s">
        <v>312</v>
      </c>
      <c r="I36" s="89" t="s">
        <v>66</v>
      </c>
      <c r="J36" s="89" t="s">
        <v>53</v>
      </c>
      <c r="K36" s="85" t="s">
        <v>181</v>
      </c>
      <c r="L36" s="202" t="s">
        <v>161</v>
      </c>
      <c r="M36" s="91">
        <v>5.13813976E9</v>
      </c>
      <c r="N36" s="93"/>
      <c r="O36" s="93"/>
      <c r="P36" s="144" t="s">
        <v>70</v>
      </c>
      <c r="Q36" s="145">
        <v>1.0E8</v>
      </c>
      <c r="R36" s="146">
        <v>0.145</v>
      </c>
      <c r="S36" s="99" t="s">
        <v>312</v>
      </c>
      <c r="T36" s="100"/>
      <c r="U36" s="100"/>
      <c r="V36" s="148" t="s">
        <v>167</v>
      </c>
      <c r="W36" s="3"/>
      <c r="X36" s="3"/>
    </row>
    <row r="37" hidden="1">
      <c r="A37" s="77"/>
      <c r="B37" s="78"/>
      <c r="C37" s="161"/>
      <c r="D37" s="139"/>
      <c r="E37" s="85" t="s">
        <v>274</v>
      </c>
      <c r="F37" s="85" t="s">
        <v>296</v>
      </c>
      <c r="G37" s="85" t="s">
        <v>314</v>
      </c>
      <c r="H37" s="85" t="s">
        <v>315</v>
      </c>
      <c r="I37" s="89" t="s">
        <v>66</v>
      </c>
      <c r="J37" s="89" t="s">
        <v>24</v>
      </c>
      <c r="K37" s="85" t="s">
        <v>202</v>
      </c>
      <c r="L37" s="202" t="s">
        <v>316</v>
      </c>
      <c r="M37" s="91">
        <v>7.262799455E9</v>
      </c>
      <c r="N37" s="93"/>
      <c r="O37" s="93"/>
      <c r="P37" s="144" t="s">
        <v>70</v>
      </c>
      <c r="Q37" s="215">
        <v>1.4E8</v>
      </c>
      <c r="R37" s="146">
        <v>0.145</v>
      </c>
      <c r="S37" s="99" t="s">
        <v>315</v>
      </c>
      <c r="T37" s="100"/>
      <c r="U37" s="100"/>
      <c r="V37" s="148" t="s">
        <v>167</v>
      </c>
      <c r="W37" s="3"/>
      <c r="X37" s="3"/>
    </row>
    <row r="38" hidden="1">
      <c r="A38" s="77"/>
      <c r="B38" s="78"/>
      <c r="C38" s="161"/>
      <c r="D38" s="139"/>
      <c r="E38" s="85" t="s">
        <v>274</v>
      </c>
      <c r="F38" s="85" t="s">
        <v>321</v>
      </c>
      <c r="G38" s="85" t="s">
        <v>322</v>
      </c>
      <c r="H38" s="85" t="s">
        <v>323</v>
      </c>
      <c r="I38" s="89" t="s">
        <v>66</v>
      </c>
      <c r="J38" s="89" t="s">
        <v>53</v>
      </c>
      <c r="K38" s="85" t="s">
        <v>288</v>
      </c>
      <c r="L38" s="202" t="s">
        <v>164</v>
      </c>
      <c r="M38" s="91">
        <v>3.7642798E9</v>
      </c>
      <c r="N38" s="93"/>
      <c r="O38" s="93"/>
      <c r="P38" s="144" t="s">
        <v>70</v>
      </c>
      <c r="Q38" s="145">
        <v>1.0E8</v>
      </c>
      <c r="R38" s="146">
        <v>0.145</v>
      </c>
      <c r="S38" s="99" t="s">
        <v>323</v>
      </c>
      <c r="T38" s="100"/>
      <c r="U38" s="100"/>
      <c r="V38" s="148" t="s">
        <v>167</v>
      </c>
      <c r="W38" s="3"/>
      <c r="X38" s="3"/>
    </row>
    <row r="39" hidden="1">
      <c r="A39" s="77"/>
      <c r="B39" s="78"/>
      <c r="C39" s="161"/>
      <c r="D39" s="139"/>
      <c r="E39" s="85" t="s">
        <v>274</v>
      </c>
      <c r="F39" s="85" t="s">
        <v>330</v>
      </c>
      <c r="G39" s="85" t="s">
        <v>331</v>
      </c>
      <c r="H39" s="85" t="s">
        <v>333</v>
      </c>
      <c r="I39" s="89" t="s">
        <v>66</v>
      </c>
      <c r="J39" s="89" t="s">
        <v>89</v>
      </c>
      <c r="K39" s="85" t="s">
        <v>353</v>
      </c>
      <c r="L39" s="202" t="s">
        <v>183</v>
      </c>
      <c r="M39" s="91">
        <v>3.28721702E9</v>
      </c>
      <c r="N39" s="93"/>
      <c r="O39" s="93"/>
      <c r="P39" s="144" t="s">
        <v>70</v>
      </c>
      <c r="Q39" s="215">
        <v>6.0E7</v>
      </c>
      <c r="R39" s="146">
        <v>0.145</v>
      </c>
      <c r="S39" s="99" t="s">
        <v>333</v>
      </c>
      <c r="T39" s="100"/>
      <c r="U39" s="100"/>
      <c r="V39" s="148" t="s">
        <v>167</v>
      </c>
      <c r="W39" s="3"/>
      <c r="X39" s="3"/>
    </row>
    <row r="40" hidden="1">
      <c r="A40" s="77"/>
      <c r="B40" s="78"/>
      <c r="C40" s="161"/>
      <c r="D40" s="139"/>
      <c r="E40" s="85" t="s">
        <v>274</v>
      </c>
      <c r="F40" s="85" t="s">
        <v>321</v>
      </c>
      <c r="G40" s="85" t="s">
        <v>358</v>
      </c>
      <c r="H40" s="85" t="s">
        <v>359</v>
      </c>
      <c r="I40" s="89" t="s">
        <v>66</v>
      </c>
      <c r="J40" s="89" t="s">
        <v>53</v>
      </c>
      <c r="K40" s="85" t="s">
        <v>145</v>
      </c>
      <c r="L40" s="202" t="s">
        <v>360</v>
      </c>
      <c r="M40" s="91">
        <v>4.009894535E9</v>
      </c>
      <c r="N40" s="93"/>
      <c r="O40" s="93"/>
      <c r="P40" s="144" t="s">
        <v>70</v>
      </c>
      <c r="Q40" s="145">
        <v>1.0E8</v>
      </c>
      <c r="R40" s="146">
        <v>0.15</v>
      </c>
      <c r="S40" s="99" t="s">
        <v>359</v>
      </c>
      <c r="T40" s="100"/>
      <c r="U40" s="100"/>
      <c r="V40" s="148" t="s">
        <v>167</v>
      </c>
      <c r="W40" s="3"/>
      <c r="X40" s="3"/>
    </row>
    <row r="41" hidden="1">
      <c r="A41" s="227"/>
      <c r="B41" s="228"/>
      <c r="C41" s="229"/>
      <c r="D41" s="231"/>
      <c r="E41" s="232" t="s">
        <v>274</v>
      </c>
      <c r="F41" s="232" t="s">
        <v>330</v>
      </c>
      <c r="G41" s="232" t="s">
        <v>275</v>
      </c>
      <c r="H41" s="232" t="s">
        <v>368</v>
      </c>
      <c r="I41" s="233" t="s">
        <v>66</v>
      </c>
      <c r="J41" s="233" t="s">
        <v>89</v>
      </c>
      <c r="K41" s="232" t="s">
        <v>155</v>
      </c>
      <c r="L41" s="234" t="s">
        <v>369</v>
      </c>
      <c r="M41" s="235">
        <v>3.367470365E9</v>
      </c>
      <c r="N41" s="236"/>
      <c r="O41" s="236"/>
      <c r="P41" s="237" t="s">
        <v>70</v>
      </c>
      <c r="Q41" s="238">
        <v>6.0E7</v>
      </c>
      <c r="R41" s="146">
        <v>0.15</v>
      </c>
      <c r="S41" s="239" t="s">
        <v>368</v>
      </c>
      <c r="T41" s="237"/>
      <c r="U41" s="237" t="s">
        <v>75</v>
      </c>
      <c r="V41" s="240" t="s">
        <v>167</v>
      </c>
      <c r="W41" s="242"/>
      <c r="X41" s="242"/>
      <c r="Y41" s="243"/>
      <c r="Z41" s="243"/>
      <c r="AA41" s="243"/>
      <c r="AB41" s="243"/>
    </row>
    <row r="42" hidden="1">
      <c r="A42" s="227"/>
      <c r="B42" s="228"/>
      <c r="C42" s="229"/>
      <c r="D42" s="231"/>
      <c r="E42" s="232" t="s">
        <v>274</v>
      </c>
      <c r="F42" s="232" t="s">
        <v>330</v>
      </c>
      <c r="G42" s="232" t="s">
        <v>126</v>
      </c>
      <c r="H42" s="232" t="s">
        <v>376</v>
      </c>
      <c r="I42" s="233" t="s">
        <v>66</v>
      </c>
      <c r="J42" s="233" t="s">
        <v>89</v>
      </c>
      <c r="K42" s="244">
        <v>46053.0</v>
      </c>
      <c r="L42" s="234" t="s">
        <v>369</v>
      </c>
      <c r="M42" s="235">
        <v>3.356677191E9</v>
      </c>
      <c r="N42" s="236"/>
      <c r="O42" s="236"/>
      <c r="P42" s="237" t="s">
        <v>70</v>
      </c>
      <c r="Q42" s="238">
        <v>6.0E7</v>
      </c>
      <c r="R42" s="146">
        <v>0.15</v>
      </c>
      <c r="S42" s="239" t="s">
        <v>376</v>
      </c>
      <c r="T42" s="237"/>
      <c r="U42" s="237" t="s">
        <v>75</v>
      </c>
      <c r="V42" s="240" t="s">
        <v>167</v>
      </c>
      <c r="W42" s="242"/>
      <c r="X42" s="242"/>
      <c r="Y42" s="243"/>
      <c r="Z42" s="243"/>
      <c r="AA42" s="243"/>
      <c r="AB42" s="243"/>
    </row>
    <row r="43">
      <c r="A43" s="105"/>
      <c r="B43" s="106"/>
      <c r="C43" s="107"/>
      <c r="D43" s="108"/>
      <c r="E43" s="109" t="s">
        <v>274</v>
      </c>
      <c r="F43" s="109">
        <v>5.0</v>
      </c>
      <c r="G43" s="109">
        <v>27.0</v>
      </c>
      <c r="H43" s="109" t="s">
        <v>386</v>
      </c>
      <c r="I43" s="113" t="s">
        <v>66</v>
      </c>
      <c r="J43" s="113" t="s">
        <v>53</v>
      </c>
      <c r="K43" s="109">
        <v>54.1</v>
      </c>
      <c r="L43" s="204">
        <v>58.5</v>
      </c>
      <c r="M43" s="116">
        <v>3.539052834E9</v>
      </c>
      <c r="N43" s="200">
        <v>3.432881249E9</v>
      </c>
      <c r="O43" s="200">
        <v>2.939747858E9</v>
      </c>
      <c r="P43" s="117" t="s">
        <v>388</v>
      </c>
      <c r="Q43" s="250" t="s">
        <v>70</v>
      </c>
      <c r="R43" s="205">
        <v>0.11</v>
      </c>
      <c r="S43" s="201" t="s">
        <v>386</v>
      </c>
      <c r="T43" s="117" t="s">
        <v>108</v>
      </c>
      <c r="U43" s="117" t="s">
        <v>392</v>
      </c>
      <c r="V43" s="154" t="s">
        <v>167</v>
      </c>
      <c r="W43" s="155"/>
      <c r="X43" s="155"/>
      <c r="Y43" s="157"/>
      <c r="Z43" s="157"/>
      <c r="AA43" s="157"/>
      <c r="AB43" s="157"/>
    </row>
    <row r="44">
      <c r="A44" s="77"/>
      <c r="B44" s="78"/>
      <c r="C44" s="161"/>
      <c r="D44" s="139"/>
      <c r="E44" s="85" t="s">
        <v>274</v>
      </c>
      <c r="F44" s="85">
        <v>16.0</v>
      </c>
      <c r="G44" s="85" t="s">
        <v>269</v>
      </c>
      <c r="H44" s="85" t="s">
        <v>394</v>
      </c>
      <c r="I44" s="89" t="s">
        <v>66</v>
      </c>
      <c r="J44" s="89" t="s">
        <v>395</v>
      </c>
      <c r="K44" s="85">
        <v>84.0</v>
      </c>
      <c r="L44" s="202" t="s">
        <v>396</v>
      </c>
      <c r="M44" s="91">
        <v>7.633037575E9</v>
      </c>
      <c r="N44" s="93"/>
      <c r="O44" s="93"/>
      <c r="P44" s="144" t="s">
        <v>70</v>
      </c>
      <c r="Q44" s="215">
        <v>1.7E8</v>
      </c>
      <c r="R44" s="146">
        <v>0.145</v>
      </c>
      <c r="S44" s="99" t="s">
        <v>394</v>
      </c>
      <c r="T44" s="100"/>
      <c r="U44" s="100"/>
      <c r="V44" s="148" t="s">
        <v>167</v>
      </c>
      <c r="W44" s="3"/>
      <c r="X44" s="3"/>
    </row>
    <row r="45">
      <c r="A45" s="77"/>
      <c r="B45" s="78"/>
      <c r="C45" s="161"/>
      <c r="D45" s="139"/>
      <c r="E45" s="85" t="s">
        <v>274</v>
      </c>
      <c r="F45" s="85">
        <v>17.0</v>
      </c>
      <c r="G45" s="85" t="s">
        <v>269</v>
      </c>
      <c r="H45" s="85" t="s">
        <v>401</v>
      </c>
      <c r="I45" s="89" t="s">
        <v>66</v>
      </c>
      <c r="J45" s="89" t="s">
        <v>395</v>
      </c>
      <c r="K45" s="85">
        <v>84.0</v>
      </c>
      <c r="L45" s="202" t="s">
        <v>396</v>
      </c>
      <c r="M45" s="91">
        <v>7.687315843E9</v>
      </c>
      <c r="N45" s="93"/>
      <c r="O45" s="93"/>
      <c r="P45" s="144" t="s">
        <v>70</v>
      </c>
      <c r="Q45" s="215">
        <v>1.7E8</v>
      </c>
      <c r="R45" s="146">
        <v>0.145</v>
      </c>
      <c r="S45" s="99" t="s">
        <v>401</v>
      </c>
      <c r="T45" s="100"/>
      <c r="U45" s="100"/>
      <c r="V45" s="148" t="s">
        <v>167</v>
      </c>
      <c r="W45" s="3"/>
      <c r="X45" s="3"/>
    </row>
    <row r="46">
      <c r="A46" s="77"/>
      <c r="B46" s="78"/>
      <c r="C46" s="161"/>
      <c r="D46" s="139"/>
      <c r="E46" s="85" t="s">
        <v>274</v>
      </c>
      <c r="F46" s="85">
        <v>18.0</v>
      </c>
      <c r="G46" s="85">
        <v>28.0</v>
      </c>
      <c r="H46" s="85" t="s">
        <v>412</v>
      </c>
      <c r="I46" s="89" t="s">
        <v>66</v>
      </c>
      <c r="J46" s="89" t="s">
        <v>395</v>
      </c>
      <c r="K46" s="85" t="s">
        <v>413</v>
      </c>
      <c r="L46" s="202" t="s">
        <v>396</v>
      </c>
      <c r="M46" s="91">
        <v>7.828756655E9</v>
      </c>
      <c r="N46" s="93"/>
      <c r="O46" s="93"/>
      <c r="P46" s="144" t="s">
        <v>70</v>
      </c>
      <c r="Q46" s="215">
        <v>1.7E8</v>
      </c>
      <c r="R46" s="146">
        <v>0.145</v>
      </c>
      <c r="S46" s="99" t="s">
        <v>412</v>
      </c>
      <c r="T46" s="100"/>
      <c r="U46" s="100"/>
      <c r="V46" s="148" t="s">
        <v>167</v>
      </c>
      <c r="W46" s="3"/>
      <c r="X46" s="3"/>
    </row>
    <row r="47" ht="18.75" hidden="1" customHeight="1">
      <c r="A47" s="80"/>
      <c r="B47" s="194"/>
      <c r="C47" s="195"/>
      <c r="D47" s="196" t="s">
        <v>418</v>
      </c>
      <c r="E47" s="85" t="s">
        <v>419</v>
      </c>
      <c r="F47" s="109">
        <v>5.0</v>
      </c>
      <c r="G47" s="109">
        <v>29.0</v>
      </c>
      <c r="H47" s="109" t="s">
        <v>421</v>
      </c>
      <c r="I47" s="113" t="s">
        <v>66</v>
      </c>
      <c r="J47" s="113" t="s">
        <v>422</v>
      </c>
      <c r="K47" s="109">
        <v>84.0</v>
      </c>
      <c r="L47" s="197">
        <v>90.5</v>
      </c>
      <c r="M47" s="198">
        <v>7.017310366E9</v>
      </c>
      <c r="N47" s="198">
        <v>6.806791055E9</v>
      </c>
      <c r="O47" s="199">
        <v>5.82899552E9</v>
      </c>
      <c r="P47" s="93" t="s">
        <v>233</v>
      </c>
      <c r="Q47" s="93" t="s">
        <v>195</v>
      </c>
      <c r="R47" s="159">
        <v>0.125</v>
      </c>
      <c r="S47" s="201" t="s">
        <v>421</v>
      </c>
      <c r="T47" s="117" t="s">
        <v>108</v>
      </c>
      <c r="U47" s="119"/>
      <c r="V47" s="3"/>
      <c r="Y47" s="3"/>
      <c r="Z47" s="121" t="s">
        <v>10</v>
      </c>
    </row>
    <row r="48" hidden="1">
      <c r="A48" s="176"/>
      <c r="B48" s="177"/>
      <c r="C48" s="178"/>
      <c r="D48" s="179" t="s">
        <v>432</v>
      </c>
      <c r="E48" s="85" t="s">
        <v>419</v>
      </c>
      <c r="F48" s="255">
        <v>6.0</v>
      </c>
      <c r="G48" s="255">
        <v>12.0</v>
      </c>
      <c r="H48" s="255" t="s">
        <v>434</v>
      </c>
      <c r="I48" s="182" t="s">
        <v>66</v>
      </c>
      <c r="J48" s="182" t="s">
        <v>24</v>
      </c>
      <c r="K48" s="180">
        <v>72.7</v>
      </c>
      <c r="L48" s="183">
        <v>80.5</v>
      </c>
      <c r="M48" s="185">
        <v>4.262411171E9</v>
      </c>
      <c r="N48" s="185">
        <v>4.134538836E9</v>
      </c>
      <c r="O48" s="186">
        <v>3.540612332E9</v>
      </c>
      <c r="P48" s="93" t="s">
        <v>233</v>
      </c>
      <c r="Q48" s="93" t="s">
        <v>195</v>
      </c>
      <c r="R48" s="159">
        <v>0.125</v>
      </c>
      <c r="S48" s="189" t="s">
        <v>434</v>
      </c>
      <c r="T48" s="190" t="s">
        <v>108</v>
      </c>
      <c r="U48" s="191"/>
      <c r="V48" s="3"/>
      <c r="Y48" s="3"/>
    </row>
    <row r="49" hidden="1">
      <c r="A49" s="176"/>
      <c r="B49" s="177"/>
      <c r="C49" s="178"/>
      <c r="D49" s="179" t="s">
        <v>438</v>
      </c>
      <c r="E49" s="85" t="s">
        <v>419</v>
      </c>
      <c r="F49" s="180">
        <v>6.0</v>
      </c>
      <c r="G49" s="180">
        <v>17.0</v>
      </c>
      <c r="H49" s="180" t="s">
        <v>439</v>
      </c>
      <c r="I49" s="182" t="s">
        <v>66</v>
      </c>
      <c r="J49" s="182" t="s">
        <v>53</v>
      </c>
      <c r="K49" s="180">
        <v>58.1</v>
      </c>
      <c r="L49" s="183">
        <v>62.6</v>
      </c>
      <c r="M49" s="185">
        <v>3.719218829E9</v>
      </c>
      <c r="N49" s="185">
        <v>3.607642264E9</v>
      </c>
      <c r="O49" s="193">
        <v>3.089404453E9</v>
      </c>
      <c r="P49" s="93" t="s">
        <v>233</v>
      </c>
      <c r="Q49" s="93" t="s">
        <v>195</v>
      </c>
      <c r="R49" s="159">
        <v>0.125</v>
      </c>
      <c r="S49" s="189" t="s">
        <v>439</v>
      </c>
      <c r="T49" s="190" t="s">
        <v>108</v>
      </c>
      <c r="U49" s="191"/>
      <c r="V49" s="27"/>
      <c r="Y49" s="3"/>
    </row>
    <row r="50" hidden="1">
      <c r="A50" s="176"/>
      <c r="B50" s="177"/>
      <c r="C50" s="178"/>
      <c r="D50" s="179" t="s">
        <v>438</v>
      </c>
      <c r="E50" s="85" t="s">
        <v>419</v>
      </c>
      <c r="F50" s="180">
        <v>6.0</v>
      </c>
      <c r="G50" s="180">
        <v>30.0</v>
      </c>
      <c r="H50" s="180" t="s">
        <v>446</v>
      </c>
      <c r="I50" s="182" t="s">
        <v>66</v>
      </c>
      <c r="J50" s="182" t="s">
        <v>53</v>
      </c>
      <c r="K50" s="180">
        <v>54.0</v>
      </c>
      <c r="L50" s="183">
        <v>58.5</v>
      </c>
      <c r="M50" s="185">
        <v>3.58945914E9</v>
      </c>
      <c r="N50" s="185">
        <v>3.481775366E9</v>
      </c>
      <c r="O50" s="193">
        <v>2.981618335E9</v>
      </c>
      <c r="P50" s="93" t="s">
        <v>233</v>
      </c>
      <c r="Q50" s="93" t="s">
        <v>195</v>
      </c>
      <c r="R50" s="159">
        <v>0.125</v>
      </c>
      <c r="S50" s="189" t="s">
        <v>446</v>
      </c>
      <c r="T50" s="190" t="s">
        <v>108</v>
      </c>
      <c r="U50" s="191"/>
      <c r="V50" s="27"/>
      <c r="Y50" s="3"/>
    </row>
    <row r="51" hidden="1">
      <c r="A51" s="176"/>
      <c r="B51" s="177"/>
      <c r="C51" s="178"/>
      <c r="D51" s="179" t="s">
        <v>456</v>
      </c>
      <c r="E51" s="85" t="s">
        <v>419</v>
      </c>
      <c r="F51" s="180">
        <v>6.0</v>
      </c>
      <c r="G51" s="180">
        <v>35.0</v>
      </c>
      <c r="H51" s="180" t="s">
        <v>457</v>
      </c>
      <c r="I51" s="182" t="s">
        <v>66</v>
      </c>
      <c r="J51" s="182" t="s">
        <v>89</v>
      </c>
      <c r="K51" s="180">
        <v>33.3</v>
      </c>
      <c r="L51" s="183">
        <v>37.4</v>
      </c>
      <c r="M51" s="185">
        <v>2.852723081E9</v>
      </c>
      <c r="N51" s="185">
        <v>2.767141389E9</v>
      </c>
      <c r="O51" s="193">
        <v>2.369641528E9</v>
      </c>
      <c r="P51" s="93" t="s">
        <v>233</v>
      </c>
      <c r="Q51" s="93" t="s">
        <v>195</v>
      </c>
      <c r="R51" s="159">
        <v>0.125</v>
      </c>
      <c r="S51" s="189" t="s">
        <v>457</v>
      </c>
      <c r="T51" s="190" t="s">
        <v>108</v>
      </c>
      <c r="U51" s="191"/>
      <c r="V51" s="3"/>
      <c r="Y51" s="3"/>
    </row>
    <row r="52" hidden="1">
      <c r="A52" s="176"/>
      <c r="B52" s="177"/>
      <c r="C52" s="178"/>
      <c r="D52" s="179"/>
      <c r="E52" s="85" t="s">
        <v>419</v>
      </c>
      <c r="F52" s="180">
        <v>16.0</v>
      </c>
      <c r="G52" s="180">
        <v>7.0</v>
      </c>
      <c r="H52" s="180" t="s">
        <v>463</v>
      </c>
      <c r="I52" s="182" t="s">
        <v>66</v>
      </c>
      <c r="J52" s="182" t="s">
        <v>89</v>
      </c>
      <c r="K52" s="180">
        <v>31.2</v>
      </c>
      <c r="L52" s="183">
        <v>34.7</v>
      </c>
      <c r="M52" s="185">
        <v>3.146052077E9</v>
      </c>
      <c r="N52" s="185">
        <v>3.051670515E9</v>
      </c>
      <c r="O52" s="186">
        <v>2.613298045E9</v>
      </c>
      <c r="P52" s="93" t="s">
        <v>233</v>
      </c>
      <c r="Q52" s="93" t="s">
        <v>195</v>
      </c>
      <c r="R52" s="159">
        <v>0.125</v>
      </c>
      <c r="S52" s="187"/>
      <c r="T52" s="190" t="s">
        <v>108</v>
      </c>
      <c r="U52" s="191"/>
      <c r="V52" s="3"/>
      <c r="Y52" s="3"/>
      <c r="Z52" s="121" t="s">
        <v>10</v>
      </c>
    </row>
    <row r="53" hidden="1">
      <c r="A53" s="133"/>
      <c r="B53" s="106"/>
      <c r="C53" s="107"/>
      <c r="D53" s="196" t="s">
        <v>432</v>
      </c>
      <c r="E53" s="85" t="s">
        <v>419</v>
      </c>
      <c r="F53" s="109">
        <v>16.0</v>
      </c>
      <c r="G53" s="109">
        <v>10.0</v>
      </c>
      <c r="H53" s="109" t="s">
        <v>468</v>
      </c>
      <c r="I53" s="113" t="s">
        <v>66</v>
      </c>
      <c r="J53" s="113" t="s">
        <v>53</v>
      </c>
      <c r="K53" s="109">
        <v>48.8</v>
      </c>
      <c r="L53" s="197">
        <v>53.5</v>
      </c>
      <c r="M53" s="198">
        <v>3.30653768E9</v>
      </c>
      <c r="N53" s="198">
        <v>3.20734155E9</v>
      </c>
      <c r="O53" s="199">
        <v>2.746606936E9</v>
      </c>
      <c r="P53" s="93" t="s">
        <v>233</v>
      </c>
      <c r="Q53" s="93" t="s">
        <v>195</v>
      </c>
      <c r="R53" s="159">
        <v>0.125</v>
      </c>
      <c r="S53" s="201" t="s">
        <v>468</v>
      </c>
      <c r="T53" s="117" t="s">
        <v>108</v>
      </c>
      <c r="U53" s="119"/>
      <c r="V53" s="3"/>
      <c r="Y53" s="3"/>
    </row>
    <row r="54" hidden="1">
      <c r="A54" s="176"/>
      <c r="B54" s="177"/>
      <c r="C54" s="178"/>
      <c r="D54" s="179" t="s">
        <v>432</v>
      </c>
      <c r="E54" s="85" t="s">
        <v>419</v>
      </c>
      <c r="F54" s="180">
        <v>16.0</v>
      </c>
      <c r="G54" s="180">
        <v>27.0</v>
      </c>
      <c r="H54" s="180" t="s">
        <v>473</v>
      </c>
      <c r="I54" s="182" t="s">
        <v>66</v>
      </c>
      <c r="J54" s="182" t="s">
        <v>53</v>
      </c>
      <c r="K54" s="180">
        <v>54.1</v>
      </c>
      <c r="L54" s="183">
        <v>58.5</v>
      </c>
      <c r="M54" s="185">
        <v>3.838984441E9</v>
      </c>
      <c r="N54" s="185">
        <v>3.723814908E9</v>
      </c>
      <c r="O54" s="193">
        <v>3.188888896E9</v>
      </c>
      <c r="P54" s="93" t="s">
        <v>233</v>
      </c>
      <c r="Q54" s="93" t="s">
        <v>195</v>
      </c>
      <c r="R54" s="159">
        <v>0.125</v>
      </c>
      <c r="S54" s="189" t="s">
        <v>473</v>
      </c>
      <c r="T54" s="190" t="s">
        <v>95</v>
      </c>
      <c r="U54" s="191"/>
      <c r="V54" s="3"/>
      <c r="Y54" s="3"/>
    </row>
    <row r="55" hidden="1">
      <c r="A55" s="176"/>
      <c r="B55" s="177"/>
      <c r="C55" s="178"/>
      <c r="D55" s="179" t="s">
        <v>418</v>
      </c>
      <c r="E55" s="85" t="s">
        <v>419</v>
      </c>
      <c r="F55" s="180">
        <v>16.0</v>
      </c>
      <c r="G55" s="180">
        <v>29.0</v>
      </c>
      <c r="H55" s="180" t="s">
        <v>480</v>
      </c>
      <c r="I55" s="182" t="s">
        <v>66</v>
      </c>
      <c r="J55" s="182" t="s">
        <v>422</v>
      </c>
      <c r="K55" s="180">
        <v>84.0</v>
      </c>
      <c r="L55" s="183">
        <v>90.5</v>
      </c>
      <c r="M55" s="185">
        <v>7.612816173E9</v>
      </c>
      <c r="N55" s="185">
        <v>7.384431688E9</v>
      </c>
      <c r="O55" s="193">
        <v>6.323658076E9</v>
      </c>
      <c r="P55" s="93" t="s">
        <v>233</v>
      </c>
      <c r="Q55" s="93" t="s">
        <v>195</v>
      </c>
      <c r="R55" s="159">
        <v>0.125</v>
      </c>
      <c r="S55" s="189" t="s">
        <v>480</v>
      </c>
      <c r="T55" s="190" t="s">
        <v>108</v>
      </c>
      <c r="U55" s="191"/>
      <c r="V55" s="3"/>
      <c r="Y55" s="3"/>
    </row>
    <row r="56" hidden="1">
      <c r="A56" s="176"/>
      <c r="B56" s="177"/>
      <c r="C56" s="178"/>
      <c r="D56" s="179"/>
      <c r="E56" s="85" t="s">
        <v>419</v>
      </c>
      <c r="F56" s="180">
        <v>20.0</v>
      </c>
      <c r="G56" s="263" t="s">
        <v>64</v>
      </c>
      <c r="H56" s="180" t="s">
        <v>297</v>
      </c>
      <c r="I56" s="182" t="s">
        <v>66</v>
      </c>
      <c r="J56" s="182" t="s">
        <v>53</v>
      </c>
      <c r="K56" s="180" t="s">
        <v>488</v>
      </c>
      <c r="L56" s="183" t="s">
        <v>489</v>
      </c>
      <c r="M56" s="264" t="s">
        <v>491</v>
      </c>
      <c r="N56" s="193"/>
      <c r="O56" s="193"/>
      <c r="P56" s="93" t="s">
        <v>233</v>
      </c>
      <c r="Q56" s="93" t="s">
        <v>195</v>
      </c>
      <c r="R56" s="159">
        <v>0.125</v>
      </c>
      <c r="S56" s="189" t="s">
        <v>297</v>
      </c>
      <c r="T56" s="190" t="s">
        <v>108</v>
      </c>
      <c r="U56" s="191"/>
      <c r="V56" s="3"/>
      <c r="Y56" s="3"/>
    </row>
    <row r="57" hidden="1">
      <c r="A57" s="265"/>
      <c r="B57" s="266"/>
      <c r="C57" s="178"/>
      <c r="D57" s="267"/>
      <c r="E57" s="85" t="s">
        <v>419</v>
      </c>
      <c r="F57" s="268">
        <v>21.0</v>
      </c>
      <c r="G57" s="268">
        <v>5.0</v>
      </c>
      <c r="H57" s="269" t="s">
        <v>499</v>
      </c>
      <c r="I57" s="182" t="s">
        <v>66</v>
      </c>
      <c r="J57" s="182" t="s">
        <v>53</v>
      </c>
      <c r="K57" s="270" t="s">
        <v>500</v>
      </c>
      <c r="L57" s="271" t="s">
        <v>161</v>
      </c>
      <c r="M57" s="264" t="s">
        <v>501</v>
      </c>
      <c r="N57" s="272"/>
      <c r="O57" s="272"/>
      <c r="P57" s="93" t="s">
        <v>233</v>
      </c>
      <c r="Q57" s="93" t="s">
        <v>195</v>
      </c>
      <c r="R57" s="159">
        <v>0.125</v>
      </c>
      <c r="S57" s="273" t="s">
        <v>499</v>
      </c>
      <c r="T57" s="274" t="s">
        <v>95</v>
      </c>
      <c r="U57" s="275"/>
      <c r="V57" s="276"/>
      <c r="W57" s="277"/>
      <c r="X57" s="277"/>
      <c r="Y57" s="276"/>
      <c r="Z57" s="277"/>
      <c r="AA57" s="277"/>
      <c r="AB57" s="277"/>
    </row>
    <row r="58" hidden="1">
      <c r="A58" s="176"/>
      <c r="B58" s="177"/>
      <c r="C58" s="178"/>
      <c r="D58" s="179"/>
      <c r="E58" s="85" t="s">
        <v>419</v>
      </c>
      <c r="F58" s="180">
        <v>22.0</v>
      </c>
      <c r="G58" s="180" t="s">
        <v>35</v>
      </c>
      <c r="H58" s="180" t="s">
        <v>509</v>
      </c>
      <c r="I58" s="182" t="s">
        <v>66</v>
      </c>
      <c r="J58" s="182" t="s">
        <v>53</v>
      </c>
      <c r="K58" s="180" t="s">
        <v>76</v>
      </c>
      <c r="L58" s="183" t="s">
        <v>513</v>
      </c>
      <c r="M58" s="264" t="s">
        <v>514</v>
      </c>
      <c r="N58" s="193"/>
      <c r="O58" s="193"/>
      <c r="P58" s="93" t="s">
        <v>233</v>
      </c>
      <c r="Q58" s="93" t="s">
        <v>195</v>
      </c>
      <c r="R58" s="159">
        <v>0.125</v>
      </c>
      <c r="S58" s="189" t="s">
        <v>515</v>
      </c>
      <c r="T58" s="190"/>
      <c r="U58" s="191"/>
      <c r="V58" s="3"/>
      <c r="Y58" s="3"/>
    </row>
    <row r="59" hidden="1">
      <c r="A59" s="80"/>
      <c r="B59" s="106"/>
      <c r="C59" s="107"/>
      <c r="D59" s="196" t="s">
        <v>432</v>
      </c>
      <c r="E59" s="85" t="s">
        <v>419</v>
      </c>
      <c r="F59" s="109">
        <v>24.0</v>
      </c>
      <c r="G59" s="109">
        <v>25.0</v>
      </c>
      <c r="H59" s="109" t="s">
        <v>520</v>
      </c>
      <c r="I59" s="113" t="s">
        <v>66</v>
      </c>
      <c r="J59" s="113" t="s">
        <v>89</v>
      </c>
      <c r="K59" s="109" t="s">
        <v>521</v>
      </c>
      <c r="L59" s="197" t="s">
        <v>425</v>
      </c>
      <c r="M59" s="198">
        <v>2.499757971E9</v>
      </c>
      <c r="N59" s="199"/>
      <c r="O59" s="199"/>
      <c r="P59" s="93" t="s">
        <v>233</v>
      </c>
      <c r="Q59" s="93" t="s">
        <v>195</v>
      </c>
      <c r="R59" s="159">
        <v>0.125</v>
      </c>
      <c r="S59" s="201" t="s">
        <v>520</v>
      </c>
      <c r="T59" s="117"/>
      <c r="U59" s="119"/>
      <c r="V59" s="103"/>
      <c r="Y59" s="103"/>
      <c r="Z59" s="121" t="s">
        <v>10</v>
      </c>
    </row>
    <row r="60">
      <c r="B60" s="162"/>
      <c r="C60" s="162"/>
      <c r="D60" s="162"/>
      <c r="E60" s="50" t="s">
        <v>526</v>
      </c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2"/>
      <c r="V60" s="3"/>
      <c r="W60" s="3"/>
      <c r="X60" s="3"/>
      <c r="Y60" s="27"/>
      <c r="Z60" s="27"/>
      <c r="AA60" s="27"/>
      <c r="AB60" s="27"/>
    </row>
    <row r="61">
      <c r="A61" s="278" t="s">
        <v>5</v>
      </c>
      <c r="B61" s="163" t="s">
        <v>32</v>
      </c>
      <c r="C61" s="164" t="s">
        <v>34</v>
      </c>
      <c r="D61" s="165"/>
      <c r="E61" s="165" t="s">
        <v>36</v>
      </c>
      <c r="F61" s="165" t="s">
        <v>37</v>
      </c>
      <c r="G61" s="165" t="s">
        <v>38</v>
      </c>
      <c r="H61" s="165" t="s">
        <v>39</v>
      </c>
      <c r="I61" s="165" t="s">
        <v>40</v>
      </c>
      <c r="J61" s="165" t="s">
        <v>41</v>
      </c>
      <c r="K61" s="165" t="s">
        <v>42</v>
      </c>
      <c r="L61" s="166" t="s">
        <v>43</v>
      </c>
      <c r="M61" s="166" t="s">
        <v>18</v>
      </c>
      <c r="N61" s="167" t="s">
        <v>25</v>
      </c>
      <c r="O61" s="167" t="s">
        <v>219</v>
      </c>
      <c r="P61" s="168" t="s">
        <v>45</v>
      </c>
      <c r="Q61" s="51"/>
      <c r="R61" s="65"/>
      <c r="S61" s="169" t="s">
        <v>46</v>
      </c>
      <c r="T61" s="169" t="s">
        <v>47</v>
      </c>
      <c r="U61" s="67" t="s">
        <v>48</v>
      </c>
      <c r="V61" s="3"/>
      <c r="W61" s="3"/>
      <c r="X61" s="3"/>
      <c r="Y61" s="27"/>
      <c r="Z61" s="27"/>
      <c r="AA61" s="27"/>
      <c r="AB61" s="27"/>
    </row>
    <row r="62" ht="25.5" customHeight="1">
      <c r="A62" s="69"/>
      <c r="B62" s="170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72" t="s">
        <v>54</v>
      </c>
      <c r="Q62" s="72" t="s">
        <v>55</v>
      </c>
      <c r="R62" s="280" t="s">
        <v>56</v>
      </c>
      <c r="S62" s="281"/>
      <c r="T62" s="281"/>
      <c r="U62" s="174"/>
      <c r="V62" s="3"/>
      <c r="W62" s="3"/>
      <c r="X62" s="3"/>
      <c r="Y62" s="27"/>
      <c r="Z62" s="175">
        <f>COUNTif(Z143:Z193,"Đã bán")</f>
        <v>0</v>
      </c>
      <c r="AA62" s="27"/>
      <c r="AB62" s="27"/>
    </row>
    <row r="63" hidden="1">
      <c r="A63" s="283"/>
      <c r="B63" s="283"/>
      <c r="C63" s="283"/>
      <c r="D63" s="283"/>
      <c r="E63" s="284" t="s">
        <v>541</v>
      </c>
      <c r="F63" s="285" t="s">
        <v>275</v>
      </c>
      <c r="G63" s="285" t="s">
        <v>311</v>
      </c>
      <c r="H63" s="285" t="s">
        <v>542</v>
      </c>
      <c r="I63" s="286" t="s">
        <v>66</v>
      </c>
      <c r="J63" s="286" t="s">
        <v>53</v>
      </c>
      <c r="K63" s="285" t="s">
        <v>76</v>
      </c>
      <c r="L63" s="285" t="s">
        <v>339</v>
      </c>
      <c r="M63" s="287">
        <v>4.604554851E9</v>
      </c>
      <c r="N63" s="288"/>
      <c r="O63" s="288"/>
      <c r="P63" s="93" t="s">
        <v>70</v>
      </c>
      <c r="Q63" s="145">
        <v>1.0E8</v>
      </c>
      <c r="R63" s="146">
        <v>0.145</v>
      </c>
      <c r="S63" s="289" t="s">
        <v>542</v>
      </c>
      <c r="T63" s="290"/>
      <c r="U63" s="290"/>
      <c r="V63" s="148" t="s">
        <v>167</v>
      </c>
      <c r="W63" s="291"/>
      <c r="X63" s="293"/>
      <c r="Y63" s="291"/>
      <c r="Z63" s="294"/>
      <c r="AA63" s="291"/>
      <c r="AB63" s="293"/>
    </row>
    <row r="64">
      <c r="A64" s="283"/>
      <c r="B64" s="283"/>
      <c r="C64" s="283"/>
      <c r="D64" s="283"/>
      <c r="E64" s="284" t="s">
        <v>541</v>
      </c>
      <c r="F64" s="285" t="s">
        <v>275</v>
      </c>
      <c r="G64" s="285" t="s">
        <v>551</v>
      </c>
      <c r="H64" s="285" t="s">
        <v>552</v>
      </c>
      <c r="I64" s="286" t="s">
        <v>66</v>
      </c>
      <c r="J64" s="286" t="s">
        <v>24</v>
      </c>
      <c r="K64" s="285" t="s">
        <v>328</v>
      </c>
      <c r="L64" s="285" t="s">
        <v>327</v>
      </c>
      <c r="M64" s="287">
        <v>5.705956724E9</v>
      </c>
      <c r="N64" s="288"/>
      <c r="O64" s="288"/>
      <c r="P64" s="93" t="s">
        <v>70</v>
      </c>
      <c r="Q64" s="215">
        <v>1.4E8</v>
      </c>
      <c r="R64" s="146">
        <v>0.145</v>
      </c>
      <c r="S64" s="289" t="s">
        <v>552</v>
      </c>
      <c r="T64" s="290"/>
      <c r="U64" s="290"/>
      <c r="V64" s="148" t="s">
        <v>167</v>
      </c>
      <c r="W64" s="291"/>
      <c r="X64" s="293"/>
      <c r="Y64" s="291"/>
      <c r="Z64" s="294"/>
      <c r="AA64" s="291"/>
      <c r="AB64" s="293"/>
    </row>
    <row r="65">
      <c r="A65" s="283"/>
      <c r="B65" s="283"/>
      <c r="C65" s="283"/>
      <c r="D65" s="283"/>
      <c r="E65" s="284" t="s">
        <v>541</v>
      </c>
      <c r="F65" s="285" t="s">
        <v>558</v>
      </c>
      <c r="G65" s="285" t="s">
        <v>80</v>
      </c>
      <c r="H65" s="285" t="s">
        <v>560</v>
      </c>
      <c r="I65" s="286" t="s">
        <v>66</v>
      </c>
      <c r="J65" s="286" t="s">
        <v>24</v>
      </c>
      <c r="K65" s="285" t="s">
        <v>343</v>
      </c>
      <c r="L65" s="285" t="s">
        <v>342</v>
      </c>
      <c r="M65" s="287">
        <v>6.553958666E9</v>
      </c>
      <c r="N65" s="288"/>
      <c r="O65" s="288"/>
      <c r="P65" s="93" t="s">
        <v>70</v>
      </c>
      <c r="Q65" s="215">
        <v>1.4E8</v>
      </c>
      <c r="R65" s="146">
        <v>0.145</v>
      </c>
      <c r="S65" s="289" t="s">
        <v>560</v>
      </c>
      <c r="T65" s="290"/>
      <c r="U65" s="290"/>
      <c r="V65" s="148" t="s">
        <v>167</v>
      </c>
      <c r="W65" s="291"/>
      <c r="X65" s="293"/>
      <c r="Y65" s="291"/>
      <c r="Z65" s="294"/>
      <c r="AA65" s="291"/>
      <c r="AB65" s="293"/>
    </row>
    <row r="66">
      <c r="A66" s="283"/>
      <c r="B66" s="283"/>
      <c r="C66" s="283"/>
      <c r="D66" s="283"/>
      <c r="E66" s="284" t="s">
        <v>541</v>
      </c>
      <c r="F66" s="285" t="s">
        <v>558</v>
      </c>
      <c r="G66" s="285" t="s">
        <v>290</v>
      </c>
      <c r="H66" s="285" t="s">
        <v>569</v>
      </c>
      <c r="I66" s="286" t="s">
        <v>66</v>
      </c>
      <c r="J66" s="286" t="s">
        <v>24</v>
      </c>
      <c r="K66" s="285" t="s">
        <v>69</v>
      </c>
      <c r="L66" s="285" t="s">
        <v>318</v>
      </c>
      <c r="M66" s="287">
        <v>7.80555927E9</v>
      </c>
      <c r="N66" s="288"/>
      <c r="O66" s="288"/>
      <c r="P66" s="93" t="s">
        <v>70</v>
      </c>
      <c r="Q66" s="215">
        <v>1.4E8</v>
      </c>
      <c r="R66" s="146">
        <v>0.145</v>
      </c>
      <c r="S66" s="289" t="s">
        <v>569</v>
      </c>
      <c r="T66" s="290"/>
      <c r="U66" s="290"/>
      <c r="V66" s="148" t="s">
        <v>167</v>
      </c>
      <c r="W66" s="291"/>
      <c r="X66" s="293"/>
      <c r="Y66" s="291"/>
      <c r="Z66" s="5"/>
      <c r="AA66" s="291"/>
      <c r="AB66" s="293"/>
    </row>
    <row r="67">
      <c r="A67" s="283"/>
      <c r="B67" s="283"/>
      <c r="C67" s="283"/>
      <c r="D67" s="283"/>
      <c r="E67" s="284" t="s">
        <v>541</v>
      </c>
      <c r="F67" s="285" t="s">
        <v>321</v>
      </c>
      <c r="G67" s="285" t="s">
        <v>577</v>
      </c>
      <c r="H67" s="285" t="s">
        <v>578</v>
      </c>
      <c r="I67" s="286" t="s">
        <v>66</v>
      </c>
      <c r="J67" s="286" t="s">
        <v>53</v>
      </c>
      <c r="K67" s="285" t="s">
        <v>288</v>
      </c>
      <c r="L67" s="285" t="s">
        <v>287</v>
      </c>
      <c r="M67" s="287">
        <v>3.624273803E9</v>
      </c>
      <c r="N67" s="288"/>
      <c r="O67" s="288"/>
      <c r="P67" s="93" t="s">
        <v>70</v>
      </c>
      <c r="Q67" s="145">
        <v>1.0E8</v>
      </c>
      <c r="R67" s="146">
        <v>0.145</v>
      </c>
      <c r="S67" s="289" t="s">
        <v>578</v>
      </c>
      <c r="T67" s="290"/>
      <c r="U67" s="290"/>
      <c r="V67" s="148" t="s">
        <v>167</v>
      </c>
      <c r="W67" s="291"/>
      <c r="X67" s="293"/>
      <c r="Y67" s="291"/>
      <c r="Z67" s="294"/>
      <c r="AA67" s="291"/>
      <c r="AB67" s="293"/>
    </row>
    <row r="68">
      <c r="A68" s="283"/>
      <c r="B68" s="283"/>
      <c r="C68" s="283"/>
      <c r="D68" s="283"/>
      <c r="E68" s="284" t="s">
        <v>541</v>
      </c>
      <c r="F68" s="85">
        <v>5.0</v>
      </c>
      <c r="G68" s="85">
        <v>3.0</v>
      </c>
      <c r="H68" s="285" t="s">
        <v>586</v>
      </c>
      <c r="I68" s="286" t="s">
        <v>66</v>
      </c>
      <c r="J68" s="286" t="s">
        <v>53</v>
      </c>
      <c r="K68" s="285" t="s">
        <v>76</v>
      </c>
      <c r="L68" s="285" t="s">
        <v>339</v>
      </c>
      <c r="M68" s="296">
        <v>4.534590166E9</v>
      </c>
      <c r="N68" s="288"/>
      <c r="O68" s="288"/>
      <c r="P68" s="93" t="s">
        <v>70</v>
      </c>
      <c r="Q68" s="145">
        <v>1.0E8</v>
      </c>
      <c r="R68" s="146">
        <v>0.145</v>
      </c>
      <c r="S68" s="289" t="s">
        <v>586</v>
      </c>
      <c r="T68" s="290"/>
      <c r="U68" s="290"/>
      <c r="V68" s="148" t="s">
        <v>167</v>
      </c>
      <c r="W68" s="291"/>
      <c r="X68" s="293"/>
      <c r="Y68" s="291"/>
      <c r="Z68" s="294"/>
      <c r="AA68" s="291"/>
      <c r="AB68" s="293"/>
    </row>
    <row r="69" hidden="1">
      <c r="A69" s="297"/>
      <c r="B69" s="297"/>
      <c r="C69" s="297"/>
      <c r="D69" s="297"/>
      <c r="E69" s="298" t="s">
        <v>541</v>
      </c>
      <c r="F69" s="109">
        <v>19.0</v>
      </c>
      <c r="G69" s="109">
        <v>15.0</v>
      </c>
      <c r="H69" s="285" t="s">
        <v>594</v>
      </c>
      <c r="I69" s="299" t="s">
        <v>66</v>
      </c>
      <c r="J69" s="299" t="s">
        <v>53</v>
      </c>
      <c r="K69" s="300" t="s">
        <v>288</v>
      </c>
      <c r="L69" s="300" t="s">
        <v>287</v>
      </c>
      <c r="M69" s="301">
        <v>3.550237596E9</v>
      </c>
      <c r="N69" s="302"/>
      <c r="O69" s="302"/>
      <c r="P69" s="200" t="s">
        <v>70</v>
      </c>
      <c r="Q69" s="152">
        <v>1.0E8</v>
      </c>
      <c r="R69" s="146">
        <v>0.15</v>
      </c>
      <c r="S69" s="304"/>
      <c r="T69" s="304"/>
      <c r="U69" s="304"/>
      <c r="V69" s="154" t="s">
        <v>167</v>
      </c>
      <c r="W69" s="305"/>
      <c r="X69" s="306"/>
      <c r="Y69" s="305"/>
      <c r="Z69" s="307"/>
      <c r="AA69" s="305"/>
      <c r="AB69" s="306"/>
    </row>
    <row r="70">
      <c r="A70" s="308"/>
      <c r="B70" s="308"/>
      <c r="C70" s="308"/>
      <c r="D70" s="308"/>
      <c r="E70" s="284" t="s">
        <v>541</v>
      </c>
      <c r="F70" s="85">
        <v>8.0</v>
      </c>
      <c r="G70" s="85" t="s">
        <v>228</v>
      </c>
      <c r="H70" s="85" t="s">
        <v>599</v>
      </c>
      <c r="I70" s="89" t="s">
        <v>66</v>
      </c>
      <c r="J70" s="89" t="s">
        <v>24</v>
      </c>
      <c r="K70" s="85">
        <v>72.0</v>
      </c>
      <c r="L70" s="85">
        <v>80.0</v>
      </c>
      <c r="M70" s="296">
        <v>5.714485742E9</v>
      </c>
      <c r="N70" s="288"/>
      <c r="O70" s="288"/>
      <c r="P70" s="93" t="s">
        <v>233</v>
      </c>
      <c r="Q70" s="93" t="s">
        <v>70</v>
      </c>
      <c r="R70" s="146">
        <v>0.145</v>
      </c>
      <c r="S70" s="289" t="s">
        <v>599</v>
      </c>
      <c r="T70" s="310"/>
      <c r="U70" s="310" t="s">
        <v>392</v>
      </c>
      <c r="V70" s="148" t="s">
        <v>167</v>
      </c>
      <c r="W70" s="311"/>
      <c r="X70" s="312"/>
      <c r="Y70" s="311"/>
      <c r="Z70" s="313"/>
      <c r="AA70" s="314"/>
      <c r="AB70" s="312"/>
    </row>
    <row r="71" hidden="1">
      <c r="A71" s="297"/>
      <c r="B71" s="297"/>
      <c r="C71" s="297"/>
      <c r="D71" s="297"/>
      <c r="E71" s="298" t="s">
        <v>541</v>
      </c>
      <c r="F71" s="109">
        <v>8.0</v>
      </c>
      <c r="G71" s="109" t="s">
        <v>35</v>
      </c>
      <c r="H71" s="85" t="s">
        <v>606</v>
      </c>
      <c r="I71" s="113" t="s">
        <v>66</v>
      </c>
      <c r="J71" s="113" t="s">
        <v>53</v>
      </c>
      <c r="K71" s="109">
        <v>54.1</v>
      </c>
      <c r="L71" s="109">
        <v>59.1</v>
      </c>
      <c r="M71" s="301">
        <v>3.201748724E9</v>
      </c>
      <c r="N71" s="302"/>
      <c r="O71" s="302"/>
      <c r="P71" s="200" t="s">
        <v>233</v>
      </c>
      <c r="Q71" s="200" t="s">
        <v>70</v>
      </c>
      <c r="R71" s="146">
        <v>0.15</v>
      </c>
      <c r="S71" s="316" t="s">
        <v>606</v>
      </c>
      <c r="T71" s="304"/>
      <c r="U71" s="304"/>
      <c r="V71" s="148" t="s">
        <v>167</v>
      </c>
      <c r="W71" s="305"/>
      <c r="X71" s="306"/>
      <c r="Y71" s="305"/>
      <c r="Z71" s="307"/>
      <c r="AA71" s="305"/>
      <c r="AB71" s="317">
        <v>0.5458333333333333</v>
      </c>
    </row>
    <row r="72">
      <c r="A72" s="283"/>
      <c r="B72" s="283"/>
      <c r="C72" s="283"/>
      <c r="D72" s="283"/>
      <c r="E72" s="284" t="s">
        <v>541</v>
      </c>
      <c r="F72" s="85">
        <v>8.0</v>
      </c>
      <c r="G72" s="85">
        <v>23.0</v>
      </c>
      <c r="H72" s="85" t="s">
        <v>612</v>
      </c>
      <c r="I72" s="89" t="s">
        <v>66</v>
      </c>
      <c r="J72" s="89" t="s">
        <v>53</v>
      </c>
      <c r="K72" s="85">
        <v>54.4</v>
      </c>
      <c r="L72" s="85">
        <v>60.8</v>
      </c>
      <c r="M72" s="296">
        <v>4.468572805E9</v>
      </c>
      <c r="N72" s="288"/>
      <c r="O72" s="288"/>
      <c r="P72" s="93" t="s">
        <v>233</v>
      </c>
      <c r="Q72" s="93" t="s">
        <v>70</v>
      </c>
      <c r="R72" s="146">
        <v>0.145</v>
      </c>
      <c r="S72" s="289" t="s">
        <v>612</v>
      </c>
      <c r="T72" s="290"/>
      <c r="U72" s="290" t="s">
        <v>392</v>
      </c>
      <c r="V72" s="148" t="s">
        <v>167</v>
      </c>
      <c r="W72" s="291"/>
      <c r="X72" s="293"/>
      <c r="Y72" s="291"/>
      <c r="Z72" s="294"/>
      <c r="AA72" s="291"/>
      <c r="AB72" s="291"/>
    </row>
    <row r="73" hidden="1">
      <c r="A73" s="297"/>
      <c r="B73" s="297"/>
      <c r="C73" s="297"/>
      <c r="D73" s="297"/>
      <c r="E73" s="298" t="s">
        <v>541</v>
      </c>
      <c r="F73" s="109">
        <v>8.0</v>
      </c>
      <c r="G73" s="109">
        <v>25.0</v>
      </c>
      <c r="H73" s="85" t="s">
        <v>618</v>
      </c>
      <c r="I73" s="113" t="s">
        <v>66</v>
      </c>
      <c r="J73" s="113" t="s">
        <v>89</v>
      </c>
      <c r="K73" s="109">
        <v>30.0</v>
      </c>
      <c r="L73" s="109">
        <v>34.5</v>
      </c>
      <c r="M73" s="301">
        <v>2.562797242E9</v>
      </c>
      <c r="N73" s="302"/>
      <c r="O73" s="302"/>
      <c r="P73" s="200" t="s">
        <v>233</v>
      </c>
      <c r="Q73" s="200" t="s">
        <v>70</v>
      </c>
      <c r="R73" s="146">
        <v>0.15</v>
      </c>
      <c r="S73" s="316" t="s">
        <v>618</v>
      </c>
      <c r="T73" s="304"/>
      <c r="U73" s="304" t="s">
        <v>392</v>
      </c>
      <c r="V73" s="154" t="s">
        <v>167</v>
      </c>
      <c r="W73" s="305"/>
      <c r="X73" s="306"/>
      <c r="Y73" s="305"/>
      <c r="Z73" s="307"/>
      <c r="AA73" s="305"/>
      <c r="AB73" s="306"/>
    </row>
    <row r="74" hidden="1">
      <c r="A74" s="318"/>
      <c r="B74" s="318"/>
      <c r="C74" s="318"/>
      <c r="D74" s="318"/>
      <c r="E74" s="319" t="s">
        <v>541</v>
      </c>
      <c r="F74" s="232" t="s">
        <v>35</v>
      </c>
      <c r="G74" s="232">
        <v>6.0</v>
      </c>
      <c r="H74" s="85" t="s">
        <v>625</v>
      </c>
      <c r="I74" s="233" t="s">
        <v>66</v>
      </c>
      <c r="J74" s="233" t="s">
        <v>24</v>
      </c>
      <c r="K74" s="232">
        <v>66.7</v>
      </c>
      <c r="L74" s="232">
        <v>74.6</v>
      </c>
      <c r="M74" s="320">
        <v>6.094317998E9</v>
      </c>
      <c r="N74" s="321"/>
      <c r="O74" s="321"/>
      <c r="P74" s="236" t="s">
        <v>233</v>
      </c>
      <c r="Q74" s="236" t="s">
        <v>195</v>
      </c>
      <c r="R74" s="146">
        <v>0.15</v>
      </c>
      <c r="S74" s="322" t="s">
        <v>625</v>
      </c>
      <c r="T74" s="323"/>
      <c r="U74" s="323" t="s">
        <v>75</v>
      </c>
      <c r="V74" s="148" t="s">
        <v>167</v>
      </c>
      <c r="W74" s="324"/>
      <c r="X74" s="325"/>
      <c r="Y74" s="324"/>
      <c r="Z74" s="326"/>
      <c r="AA74" s="324"/>
      <c r="AB74" s="325"/>
    </row>
    <row r="75" hidden="1">
      <c r="A75" s="297"/>
      <c r="B75" s="297"/>
      <c r="C75" s="297"/>
      <c r="D75" s="297"/>
      <c r="E75" s="298" t="s">
        <v>541</v>
      </c>
      <c r="F75" s="109" t="s">
        <v>35</v>
      </c>
      <c r="G75" s="109">
        <v>12.0</v>
      </c>
      <c r="H75" s="85" t="s">
        <v>632</v>
      </c>
      <c r="I75" s="113" t="s">
        <v>66</v>
      </c>
      <c r="J75" s="113" t="s">
        <v>53</v>
      </c>
      <c r="K75" s="109">
        <v>53.9</v>
      </c>
      <c r="L75" s="109">
        <v>59.2</v>
      </c>
      <c r="M75" s="301">
        <v>3.423276121E9</v>
      </c>
      <c r="N75" s="302"/>
      <c r="O75" s="302"/>
      <c r="P75" s="200" t="s">
        <v>233</v>
      </c>
      <c r="Q75" s="200" t="s">
        <v>195</v>
      </c>
      <c r="R75" s="146">
        <v>0.15</v>
      </c>
      <c r="S75" s="316" t="s">
        <v>632</v>
      </c>
      <c r="T75" s="304"/>
      <c r="U75" s="304"/>
      <c r="V75" s="148" t="s">
        <v>167</v>
      </c>
      <c r="W75" s="305"/>
      <c r="X75" s="306"/>
      <c r="Y75" s="305"/>
      <c r="Z75" s="307"/>
      <c r="AA75" s="305"/>
      <c r="AB75" s="306"/>
    </row>
    <row r="76" hidden="1">
      <c r="A76" s="318"/>
      <c r="B76" s="318"/>
      <c r="C76" s="318"/>
      <c r="D76" s="318"/>
      <c r="E76" s="319" t="s">
        <v>541</v>
      </c>
      <c r="F76" s="232" t="s">
        <v>35</v>
      </c>
      <c r="G76" s="232">
        <v>22.0</v>
      </c>
      <c r="H76" s="85" t="s">
        <v>638</v>
      </c>
      <c r="I76" s="233" t="s">
        <v>66</v>
      </c>
      <c r="J76" s="233" t="s">
        <v>53</v>
      </c>
      <c r="K76" s="232">
        <v>52.1</v>
      </c>
      <c r="L76" s="232">
        <v>57.3</v>
      </c>
      <c r="M76" s="320">
        <v>4.279644175E9</v>
      </c>
      <c r="N76" s="321"/>
      <c r="O76" s="321"/>
      <c r="P76" s="236" t="s">
        <v>233</v>
      </c>
      <c r="Q76" s="236" t="s">
        <v>195</v>
      </c>
      <c r="R76" s="146">
        <v>0.15</v>
      </c>
      <c r="S76" s="322" t="s">
        <v>638</v>
      </c>
      <c r="T76" s="323"/>
      <c r="U76" s="323" t="s">
        <v>75</v>
      </c>
      <c r="V76" s="148" t="s">
        <v>167</v>
      </c>
      <c r="W76" s="324"/>
      <c r="X76" s="325"/>
      <c r="Y76" s="324"/>
      <c r="Z76" s="326"/>
      <c r="AA76" s="324"/>
      <c r="AB76" s="325"/>
    </row>
    <row r="77" hidden="1">
      <c r="A77" s="297"/>
      <c r="B77" s="297"/>
      <c r="C77" s="297"/>
      <c r="D77" s="297"/>
      <c r="E77" s="298" t="s">
        <v>541</v>
      </c>
      <c r="F77" s="109" t="s">
        <v>35</v>
      </c>
      <c r="G77" s="109">
        <v>26.0</v>
      </c>
      <c r="H77" s="85" t="s">
        <v>643</v>
      </c>
      <c r="I77" s="113" t="s">
        <v>66</v>
      </c>
      <c r="J77" s="113" t="s">
        <v>89</v>
      </c>
      <c r="K77" s="109">
        <v>29.9</v>
      </c>
      <c r="L77" s="109">
        <v>34.3</v>
      </c>
      <c r="M77" s="301">
        <v>2.554254586E9</v>
      </c>
      <c r="N77" s="302"/>
      <c r="O77" s="302"/>
      <c r="P77" s="200" t="s">
        <v>233</v>
      </c>
      <c r="Q77" s="200" t="s">
        <v>195</v>
      </c>
      <c r="R77" s="146">
        <v>0.15</v>
      </c>
      <c r="S77" s="316" t="s">
        <v>643</v>
      </c>
      <c r="T77" s="304"/>
      <c r="U77" s="304" t="s">
        <v>392</v>
      </c>
      <c r="V77" s="148" t="s">
        <v>167</v>
      </c>
      <c r="W77" s="305"/>
      <c r="X77" s="306"/>
      <c r="Y77" s="305"/>
      <c r="Z77" s="307"/>
      <c r="AA77" s="305"/>
      <c r="AB77" s="317"/>
    </row>
    <row r="78" hidden="1">
      <c r="A78" s="297"/>
      <c r="B78" s="297"/>
      <c r="C78" s="297"/>
      <c r="D78" s="297"/>
      <c r="E78" s="298" t="s">
        <v>541</v>
      </c>
      <c r="F78" s="109">
        <v>15.0</v>
      </c>
      <c r="G78" s="109">
        <v>1.0</v>
      </c>
      <c r="H78" s="85" t="s">
        <v>649</v>
      </c>
      <c r="I78" s="113" t="s">
        <v>66</v>
      </c>
      <c r="J78" s="113" t="s">
        <v>53</v>
      </c>
      <c r="K78" s="109">
        <v>53.9</v>
      </c>
      <c r="L78" s="109">
        <v>59.2</v>
      </c>
      <c r="M78" s="301">
        <v>4.884413588E9</v>
      </c>
      <c r="N78" s="302"/>
      <c r="O78" s="302"/>
      <c r="P78" s="200" t="s">
        <v>233</v>
      </c>
      <c r="Q78" s="200" t="s">
        <v>70</v>
      </c>
      <c r="R78" s="146">
        <v>0.15</v>
      </c>
      <c r="S78" s="316" t="s">
        <v>649</v>
      </c>
      <c r="T78" s="304"/>
      <c r="U78" s="304" t="s">
        <v>392</v>
      </c>
      <c r="V78" s="154" t="s">
        <v>167</v>
      </c>
      <c r="W78" s="305"/>
      <c r="X78" s="306"/>
      <c r="Y78" s="305"/>
      <c r="Z78" s="307"/>
      <c r="AA78" s="305"/>
      <c r="AB78" s="306"/>
    </row>
    <row r="79" hidden="1">
      <c r="A79" s="297"/>
      <c r="B79" s="297"/>
      <c r="C79" s="297"/>
      <c r="D79" s="297"/>
      <c r="E79" s="298" t="s">
        <v>541</v>
      </c>
      <c r="F79" s="109">
        <v>15.0</v>
      </c>
      <c r="G79" s="109">
        <v>11.0</v>
      </c>
      <c r="H79" s="85" t="s">
        <v>655</v>
      </c>
      <c r="I79" s="113" t="s">
        <v>66</v>
      </c>
      <c r="J79" s="113" t="s">
        <v>89</v>
      </c>
      <c r="K79" s="109">
        <v>30.9</v>
      </c>
      <c r="L79" s="109">
        <v>35.0</v>
      </c>
      <c r="M79" s="301">
        <v>2.288366067E9</v>
      </c>
      <c r="N79" s="302"/>
      <c r="O79" s="302"/>
      <c r="P79" s="200" t="s">
        <v>233</v>
      </c>
      <c r="Q79" s="200" t="s">
        <v>195</v>
      </c>
      <c r="R79" s="146">
        <v>0.15</v>
      </c>
      <c r="S79" s="316" t="s">
        <v>655</v>
      </c>
      <c r="T79" s="304"/>
      <c r="U79" s="304"/>
      <c r="V79" s="148" t="s">
        <v>167</v>
      </c>
      <c r="W79" s="305"/>
      <c r="X79" s="306"/>
      <c r="Y79" s="305"/>
      <c r="Z79" s="307"/>
      <c r="AA79" s="305"/>
      <c r="AB79" s="306"/>
    </row>
    <row r="80" hidden="1">
      <c r="A80" s="297"/>
      <c r="B80" s="297"/>
      <c r="C80" s="297"/>
      <c r="D80" s="297"/>
      <c r="E80" s="298" t="s">
        <v>541</v>
      </c>
      <c r="F80" s="109">
        <v>15.0</v>
      </c>
      <c r="G80" s="109">
        <v>18.0</v>
      </c>
      <c r="H80" s="85" t="s">
        <v>660</v>
      </c>
      <c r="I80" s="113" t="s">
        <v>66</v>
      </c>
      <c r="J80" s="113" t="s">
        <v>53</v>
      </c>
      <c r="K80" s="109">
        <v>53.7</v>
      </c>
      <c r="L80" s="109">
        <v>59.2</v>
      </c>
      <c r="M80" s="301">
        <v>4.643837949E9</v>
      </c>
      <c r="N80" s="302"/>
      <c r="O80" s="302"/>
      <c r="P80" s="200" t="s">
        <v>233</v>
      </c>
      <c r="Q80" s="200" t="s">
        <v>195</v>
      </c>
      <c r="R80" s="146">
        <v>0.15</v>
      </c>
      <c r="S80" s="316" t="s">
        <v>660</v>
      </c>
      <c r="T80" s="304"/>
      <c r="U80" s="304"/>
      <c r="V80" s="148" t="s">
        <v>167</v>
      </c>
      <c r="W80" s="305"/>
      <c r="X80" s="306"/>
      <c r="Y80" s="305"/>
      <c r="Z80" s="307"/>
      <c r="AA80" s="305"/>
      <c r="AB80" s="306"/>
    </row>
    <row r="81" hidden="1">
      <c r="A81" s="297"/>
      <c r="B81" s="297"/>
      <c r="C81" s="297"/>
      <c r="D81" s="297"/>
      <c r="E81" s="298" t="s">
        <v>541</v>
      </c>
      <c r="F81" s="109">
        <v>15.0</v>
      </c>
      <c r="G81" s="109">
        <v>24.0</v>
      </c>
      <c r="H81" s="85" t="s">
        <v>668</v>
      </c>
      <c r="I81" s="113" t="s">
        <v>66</v>
      </c>
      <c r="J81" s="113" t="s">
        <v>24</v>
      </c>
      <c r="K81" s="109">
        <v>72.7</v>
      </c>
      <c r="L81" s="109">
        <v>82.2</v>
      </c>
      <c r="M81" s="301">
        <v>6.222151565E9</v>
      </c>
      <c r="N81" s="302"/>
      <c r="O81" s="302"/>
      <c r="P81" s="200" t="s">
        <v>233</v>
      </c>
      <c r="Q81" s="200" t="s">
        <v>195</v>
      </c>
      <c r="R81" s="146">
        <v>0.15</v>
      </c>
      <c r="S81" s="316" t="s">
        <v>668</v>
      </c>
      <c r="T81" s="304"/>
      <c r="U81" s="304"/>
      <c r="V81" s="148" t="s">
        <v>167</v>
      </c>
      <c r="W81" s="305"/>
      <c r="X81" s="306"/>
      <c r="Y81" s="305"/>
      <c r="Z81" s="307"/>
      <c r="AA81" s="305"/>
      <c r="AB81" s="306"/>
    </row>
    <row r="82" hidden="1">
      <c r="A82" s="318"/>
      <c r="B82" s="318"/>
      <c r="C82" s="318"/>
      <c r="D82" s="318"/>
      <c r="E82" s="319" t="s">
        <v>541</v>
      </c>
      <c r="F82" s="232">
        <v>5.0</v>
      </c>
      <c r="G82" s="232">
        <v>6.0</v>
      </c>
      <c r="H82" s="85" t="s">
        <v>673</v>
      </c>
      <c r="I82" s="233" t="s">
        <v>66</v>
      </c>
      <c r="J82" s="233" t="s">
        <v>24</v>
      </c>
      <c r="K82" s="232" t="s">
        <v>343</v>
      </c>
      <c r="L82" s="232" t="s">
        <v>342</v>
      </c>
      <c r="M82" s="320">
        <v>5.956425798E9</v>
      </c>
      <c r="N82" s="321"/>
      <c r="O82" s="321"/>
      <c r="P82" s="236" t="s">
        <v>233</v>
      </c>
      <c r="Q82" s="236" t="s">
        <v>195</v>
      </c>
      <c r="R82" s="146">
        <v>0.15</v>
      </c>
      <c r="S82" s="322" t="s">
        <v>673</v>
      </c>
      <c r="T82" s="323"/>
      <c r="U82" s="323" t="s">
        <v>75</v>
      </c>
      <c r="V82" s="148" t="s">
        <v>167</v>
      </c>
      <c r="W82" s="324"/>
      <c r="X82" s="325"/>
      <c r="Y82" s="324"/>
      <c r="Z82" s="326"/>
      <c r="AA82" s="324"/>
      <c r="AB82" s="325"/>
    </row>
    <row r="83" hidden="1">
      <c r="A83" s="297"/>
      <c r="B83" s="297"/>
      <c r="C83" s="297"/>
      <c r="D83" s="297"/>
      <c r="E83" s="298" t="s">
        <v>541</v>
      </c>
      <c r="F83" s="109">
        <v>5.0</v>
      </c>
      <c r="G83" s="109">
        <v>12.0</v>
      </c>
      <c r="H83" s="284" t="s">
        <v>677</v>
      </c>
      <c r="I83" s="113" t="s">
        <v>66</v>
      </c>
      <c r="J83" s="113" t="s">
        <v>53</v>
      </c>
      <c r="K83" s="298" t="s">
        <v>76</v>
      </c>
      <c r="L83" s="109" t="s">
        <v>339</v>
      </c>
      <c r="M83" s="333">
        <v>3.345971391E9</v>
      </c>
      <c r="N83" s="302"/>
      <c r="O83" s="302"/>
      <c r="P83" s="200" t="s">
        <v>233</v>
      </c>
      <c r="Q83" s="200" t="s">
        <v>195</v>
      </c>
      <c r="R83" s="146">
        <v>0.15</v>
      </c>
      <c r="S83" s="316" t="s">
        <v>677</v>
      </c>
      <c r="T83" s="304"/>
      <c r="U83" s="304"/>
      <c r="V83" s="148" t="s">
        <v>167</v>
      </c>
      <c r="W83" s="305"/>
      <c r="X83" s="306"/>
      <c r="Y83" s="305"/>
      <c r="Z83" s="307"/>
      <c r="AA83" s="317"/>
      <c r="AB83" s="306"/>
    </row>
    <row r="84" hidden="1">
      <c r="A84" s="318"/>
      <c r="B84" s="318"/>
      <c r="C84" s="318"/>
      <c r="D84" s="318"/>
      <c r="E84" s="319" t="s">
        <v>541</v>
      </c>
      <c r="F84" s="232">
        <v>5.0</v>
      </c>
      <c r="G84" s="232">
        <v>22.0</v>
      </c>
      <c r="H84" s="85" t="s">
        <v>680</v>
      </c>
      <c r="I84" s="233" t="s">
        <v>66</v>
      </c>
      <c r="J84" s="233" t="s">
        <v>53</v>
      </c>
      <c r="K84" s="232" t="s">
        <v>681</v>
      </c>
      <c r="L84" s="232" t="s">
        <v>287</v>
      </c>
      <c r="M84" s="320">
        <v>4.182859937E9</v>
      </c>
      <c r="N84" s="321"/>
      <c r="O84" s="321"/>
      <c r="P84" s="236" t="s">
        <v>233</v>
      </c>
      <c r="Q84" s="236" t="s">
        <v>195</v>
      </c>
      <c r="R84" s="146">
        <v>0.15</v>
      </c>
      <c r="S84" s="322" t="s">
        <v>680</v>
      </c>
      <c r="T84" s="323"/>
      <c r="U84" s="323" t="s">
        <v>75</v>
      </c>
      <c r="V84" s="148" t="s">
        <v>167</v>
      </c>
      <c r="W84" s="324"/>
      <c r="X84" s="325"/>
      <c r="Y84" s="324"/>
      <c r="Z84" s="326"/>
      <c r="AA84" s="324"/>
      <c r="AB84" s="325"/>
    </row>
    <row r="85" ht="16.5" hidden="1" customHeight="1">
      <c r="A85" s="334"/>
      <c r="B85" s="334"/>
      <c r="C85" s="334"/>
      <c r="D85" s="297"/>
      <c r="E85" s="109" t="s">
        <v>541</v>
      </c>
      <c r="F85" s="109">
        <v>5.0</v>
      </c>
      <c r="G85" s="109">
        <v>26.0</v>
      </c>
      <c r="H85" s="85" t="s">
        <v>685</v>
      </c>
      <c r="I85" s="113" t="s">
        <v>66</v>
      </c>
      <c r="J85" s="113" t="s">
        <v>89</v>
      </c>
      <c r="K85" s="335">
        <v>46294.0</v>
      </c>
      <c r="L85" s="109" t="s">
        <v>686</v>
      </c>
      <c r="M85" s="301">
        <v>2.496479048E9</v>
      </c>
      <c r="N85" s="302"/>
      <c r="O85" s="302"/>
      <c r="P85" s="200" t="s">
        <v>233</v>
      </c>
      <c r="Q85" s="200" t="s">
        <v>195</v>
      </c>
      <c r="R85" s="146">
        <v>0.15</v>
      </c>
      <c r="S85" s="316" t="s">
        <v>685</v>
      </c>
      <c r="T85" s="304"/>
      <c r="U85" s="304" t="s">
        <v>392</v>
      </c>
      <c r="V85" s="148" t="s">
        <v>167</v>
      </c>
      <c r="W85" s="305"/>
      <c r="X85" s="306"/>
      <c r="Y85" s="305" t="s">
        <v>689</v>
      </c>
      <c r="Z85" s="307"/>
      <c r="AA85" s="317"/>
      <c r="AB85" s="306"/>
    </row>
    <row r="86" hidden="1">
      <c r="A86" s="334"/>
      <c r="B86" s="334"/>
      <c r="C86" s="334"/>
      <c r="D86" s="334"/>
      <c r="E86" s="109" t="s">
        <v>541</v>
      </c>
      <c r="F86" s="109">
        <v>16.0</v>
      </c>
      <c r="G86" s="110" t="s">
        <v>126</v>
      </c>
      <c r="H86" s="126" t="s">
        <v>690</v>
      </c>
      <c r="I86" s="113" t="s">
        <v>66</v>
      </c>
      <c r="J86" s="113" t="s">
        <v>53</v>
      </c>
      <c r="K86" s="337" t="s">
        <v>76</v>
      </c>
      <c r="L86" s="337" t="s">
        <v>339</v>
      </c>
      <c r="M86" s="338">
        <v>3.629422065E9</v>
      </c>
      <c r="N86" s="302"/>
      <c r="O86" s="302"/>
      <c r="P86" s="200" t="s">
        <v>233</v>
      </c>
      <c r="Q86" s="339"/>
      <c r="R86" s="146">
        <v>0.15</v>
      </c>
      <c r="S86" s="316" t="s">
        <v>693</v>
      </c>
      <c r="T86" s="304"/>
      <c r="U86" s="304"/>
      <c r="V86" s="148" t="s">
        <v>167</v>
      </c>
      <c r="W86" s="305"/>
      <c r="X86" s="306"/>
      <c r="Y86" s="305"/>
      <c r="Z86" s="307"/>
      <c r="AA86" s="305"/>
      <c r="AB86" s="317"/>
    </row>
    <row r="87">
      <c r="A87" s="340"/>
      <c r="B87" s="340"/>
      <c r="C87" s="340"/>
      <c r="D87" s="308"/>
      <c r="E87" s="85" t="s">
        <v>541</v>
      </c>
      <c r="F87" s="85">
        <v>16.0</v>
      </c>
      <c r="G87" s="85">
        <v>20.0</v>
      </c>
      <c r="H87" s="126" t="s">
        <v>696</v>
      </c>
      <c r="I87" s="89" t="s">
        <v>66</v>
      </c>
      <c r="J87" s="89" t="s">
        <v>24</v>
      </c>
      <c r="K87" s="126" t="s">
        <v>697</v>
      </c>
      <c r="L87" s="126">
        <v>80.0</v>
      </c>
      <c r="M87" s="341">
        <v>5.848389744E9</v>
      </c>
      <c r="N87" s="288"/>
      <c r="O87" s="288"/>
      <c r="P87" s="93" t="s">
        <v>233</v>
      </c>
      <c r="Q87" s="93" t="s">
        <v>70</v>
      </c>
      <c r="R87" s="146">
        <v>0.145</v>
      </c>
      <c r="S87" s="289" t="s">
        <v>696</v>
      </c>
      <c r="T87" s="310"/>
      <c r="U87" s="310" t="s">
        <v>392</v>
      </c>
      <c r="V87" s="148" t="s">
        <v>167</v>
      </c>
      <c r="W87" s="311"/>
      <c r="X87" s="312"/>
      <c r="Y87" s="311"/>
      <c r="Z87" s="313"/>
      <c r="AA87" s="314"/>
      <c r="AB87" s="312"/>
    </row>
    <row r="88">
      <c r="A88" s="340"/>
      <c r="B88" s="340"/>
      <c r="C88" s="340"/>
      <c r="D88" s="308"/>
      <c r="E88" s="85" t="s">
        <v>541</v>
      </c>
      <c r="F88" s="85">
        <v>16.0</v>
      </c>
      <c r="G88" s="85">
        <v>27.0</v>
      </c>
      <c r="H88" s="126" t="s">
        <v>701</v>
      </c>
      <c r="I88" s="89" t="s">
        <v>66</v>
      </c>
      <c r="J88" s="89" t="s">
        <v>53</v>
      </c>
      <c r="K88" s="126" t="s">
        <v>120</v>
      </c>
      <c r="L88" s="126" t="s">
        <v>702</v>
      </c>
      <c r="M88" s="341">
        <v>4.038965077E9</v>
      </c>
      <c r="N88" s="288"/>
      <c r="O88" s="288"/>
      <c r="P88" s="93" t="s">
        <v>233</v>
      </c>
      <c r="Q88" s="93" t="s">
        <v>70</v>
      </c>
      <c r="R88" s="146">
        <v>0.145</v>
      </c>
      <c r="S88" s="289" t="s">
        <v>701</v>
      </c>
      <c r="T88" s="310"/>
      <c r="U88" s="310" t="s">
        <v>392</v>
      </c>
      <c r="V88" s="148" t="s">
        <v>167</v>
      </c>
      <c r="W88" s="311"/>
      <c r="X88" s="312"/>
      <c r="Y88" s="311"/>
      <c r="Z88" s="313"/>
      <c r="AA88" s="311"/>
      <c r="AB88" s="312"/>
    </row>
    <row r="89" hidden="1">
      <c r="A89" s="334"/>
      <c r="B89" s="334"/>
      <c r="C89" s="334"/>
      <c r="D89" s="297"/>
      <c r="E89" s="109" t="s">
        <v>541</v>
      </c>
      <c r="F89" s="109">
        <v>16.0</v>
      </c>
      <c r="G89" s="109">
        <v>31.0</v>
      </c>
      <c r="H89" s="337" t="s">
        <v>706</v>
      </c>
      <c r="I89" s="113" t="s">
        <v>66</v>
      </c>
      <c r="J89" s="337" t="s">
        <v>89</v>
      </c>
      <c r="K89" s="337" t="s">
        <v>707</v>
      </c>
      <c r="L89" s="337" t="s">
        <v>299</v>
      </c>
      <c r="M89" s="338">
        <v>3.318833294E9</v>
      </c>
      <c r="N89" s="302"/>
      <c r="O89" s="302"/>
      <c r="P89" s="342" t="s">
        <v>233</v>
      </c>
      <c r="Q89" s="200" t="s">
        <v>70</v>
      </c>
      <c r="R89" s="146">
        <v>0.15</v>
      </c>
      <c r="S89" s="316" t="s">
        <v>706</v>
      </c>
      <c r="T89" s="304"/>
      <c r="U89" s="304" t="s">
        <v>392</v>
      </c>
      <c r="V89" s="148" t="s">
        <v>167</v>
      </c>
      <c r="W89" s="305"/>
      <c r="X89" s="306"/>
      <c r="Y89" s="305"/>
      <c r="Z89" s="307"/>
      <c r="AA89" s="305"/>
      <c r="AB89" s="306"/>
    </row>
    <row r="90" hidden="1">
      <c r="A90" s="343"/>
      <c r="B90" s="343"/>
      <c r="C90" s="343"/>
      <c r="D90" s="283"/>
      <c r="E90" s="85" t="s">
        <v>541</v>
      </c>
      <c r="F90" s="284">
        <v>23.0</v>
      </c>
      <c r="G90" s="284" t="s">
        <v>228</v>
      </c>
      <c r="H90" s="345" t="s">
        <v>711</v>
      </c>
      <c r="I90" s="346" t="s">
        <v>66</v>
      </c>
      <c r="J90" s="345" t="s">
        <v>24</v>
      </c>
      <c r="K90" s="345" t="s">
        <v>305</v>
      </c>
      <c r="L90" s="345">
        <v>80.0</v>
      </c>
      <c r="M90" s="347">
        <v>6.360539636E9</v>
      </c>
      <c r="N90" s="288"/>
      <c r="O90" s="288"/>
      <c r="P90" s="348" t="s">
        <v>233</v>
      </c>
      <c r="Q90" s="93" t="s">
        <v>70</v>
      </c>
      <c r="R90" s="146">
        <v>0.15</v>
      </c>
      <c r="S90" s="289" t="s">
        <v>711</v>
      </c>
      <c r="T90" s="290"/>
      <c r="U90" s="290"/>
      <c r="V90" s="148" t="s">
        <v>75</v>
      </c>
      <c r="W90" s="291"/>
      <c r="X90" s="293"/>
      <c r="Y90" s="291"/>
      <c r="Z90" s="294"/>
      <c r="AA90" s="291"/>
      <c r="AB90" s="293"/>
    </row>
    <row r="91" hidden="1">
      <c r="A91" s="349"/>
      <c r="B91" s="349"/>
      <c r="C91" s="349"/>
      <c r="D91" s="297"/>
      <c r="E91" s="109" t="s">
        <v>541</v>
      </c>
      <c r="F91" s="298">
        <v>23.0</v>
      </c>
      <c r="G91" s="298" t="s">
        <v>35</v>
      </c>
      <c r="H91" s="350" t="s">
        <v>715</v>
      </c>
      <c r="I91" s="351" t="s">
        <v>66</v>
      </c>
      <c r="J91" s="350" t="s">
        <v>53</v>
      </c>
      <c r="K91" s="350" t="s">
        <v>222</v>
      </c>
      <c r="L91" s="350" t="s">
        <v>158</v>
      </c>
      <c r="M91" s="352">
        <v>3.563089581E9</v>
      </c>
      <c r="N91" s="302"/>
      <c r="O91" s="302"/>
      <c r="P91" s="342" t="s">
        <v>233</v>
      </c>
      <c r="Q91" s="200" t="s">
        <v>70</v>
      </c>
      <c r="R91" s="146">
        <v>0.15</v>
      </c>
      <c r="S91" s="316" t="s">
        <v>715</v>
      </c>
      <c r="T91" s="304"/>
      <c r="U91" s="304" t="s">
        <v>392</v>
      </c>
      <c r="V91" s="154" t="s">
        <v>167</v>
      </c>
      <c r="W91" s="305"/>
      <c r="X91" s="306"/>
      <c r="Y91" s="305"/>
      <c r="Z91" s="307"/>
      <c r="AA91" s="317"/>
      <c r="AB91" s="306"/>
    </row>
    <row r="92" hidden="1">
      <c r="A92" s="343"/>
      <c r="B92" s="343"/>
      <c r="C92" s="343"/>
      <c r="D92" s="283"/>
      <c r="E92" s="85" t="s">
        <v>541</v>
      </c>
      <c r="F92" s="284">
        <v>23.0</v>
      </c>
      <c r="G92" s="284">
        <v>23.0</v>
      </c>
      <c r="H92" s="345" t="s">
        <v>722</v>
      </c>
      <c r="I92" s="346" t="s">
        <v>66</v>
      </c>
      <c r="J92" s="345" t="s">
        <v>53</v>
      </c>
      <c r="K92" s="345" t="s">
        <v>79</v>
      </c>
      <c r="L92" s="345" t="s">
        <v>723</v>
      </c>
      <c r="M92" s="347">
        <v>4.973857113E9</v>
      </c>
      <c r="N92" s="288"/>
      <c r="O92" s="288"/>
      <c r="P92" s="348" t="s">
        <v>233</v>
      </c>
      <c r="Q92" s="93" t="s">
        <v>70</v>
      </c>
      <c r="R92" s="146">
        <v>0.15</v>
      </c>
      <c r="S92" s="289" t="s">
        <v>722</v>
      </c>
      <c r="T92" s="290"/>
      <c r="U92" s="290"/>
      <c r="V92" s="148" t="s">
        <v>75</v>
      </c>
      <c r="W92" s="291"/>
      <c r="X92" s="293"/>
      <c r="Y92" s="291"/>
      <c r="Z92" s="294"/>
      <c r="AA92" s="291"/>
      <c r="AB92" s="293"/>
    </row>
    <row r="93" hidden="1">
      <c r="A93" s="353"/>
      <c r="B93" s="353"/>
      <c r="C93" s="353"/>
      <c r="D93" s="354"/>
      <c r="E93" s="356" t="s">
        <v>541</v>
      </c>
      <c r="F93" s="357">
        <v>23.0</v>
      </c>
      <c r="G93" s="357">
        <v>25.0</v>
      </c>
      <c r="H93" s="358" t="s">
        <v>726</v>
      </c>
      <c r="I93" s="360" t="s">
        <v>66</v>
      </c>
      <c r="J93" s="358" t="s">
        <v>89</v>
      </c>
      <c r="K93" s="358" t="s">
        <v>727</v>
      </c>
      <c r="L93" s="358" t="s">
        <v>426</v>
      </c>
      <c r="M93" s="361">
        <v>2.852641084E9</v>
      </c>
      <c r="N93" s="362"/>
      <c r="O93" s="362"/>
      <c r="P93" s="363" t="s">
        <v>233</v>
      </c>
      <c r="Q93" s="364" t="s">
        <v>70</v>
      </c>
      <c r="R93" s="365">
        <v>0.15</v>
      </c>
      <c r="S93" s="366" t="s">
        <v>726</v>
      </c>
      <c r="T93" s="367"/>
      <c r="U93" s="367" t="s">
        <v>392</v>
      </c>
      <c r="V93" s="368" t="s">
        <v>167</v>
      </c>
      <c r="W93" s="369"/>
      <c r="X93" s="370"/>
      <c r="Y93" s="369"/>
      <c r="Z93" s="371"/>
      <c r="AA93" s="369"/>
      <c r="AB93" s="370"/>
    </row>
    <row r="94" hidden="1">
      <c r="A94" s="283"/>
      <c r="B94" s="283"/>
      <c r="C94" s="283"/>
      <c r="D94" s="283"/>
      <c r="E94" s="85" t="s">
        <v>541</v>
      </c>
      <c r="F94" s="284">
        <v>9.0</v>
      </c>
      <c r="G94" s="284">
        <v>6.0</v>
      </c>
      <c r="H94" s="284" t="s">
        <v>731</v>
      </c>
      <c r="I94" s="346" t="s">
        <v>66</v>
      </c>
      <c r="J94" s="346" t="s">
        <v>24</v>
      </c>
      <c r="K94" s="284" t="s">
        <v>343</v>
      </c>
      <c r="L94" s="284" t="s">
        <v>342</v>
      </c>
      <c r="M94" s="372">
        <v>6.140282066E9</v>
      </c>
      <c r="N94" s="288"/>
      <c r="O94" s="288"/>
      <c r="P94" s="348" t="s">
        <v>233</v>
      </c>
      <c r="Q94" s="93" t="s">
        <v>70</v>
      </c>
      <c r="R94" s="146">
        <v>0.155</v>
      </c>
      <c r="S94" s="289" t="s">
        <v>731</v>
      </c>
      <c r="T94" s="310"/>
      <c r="U94" s="310"/>
      <c r="V94" s="148" t="s">
        <v>75</v>
      </c>
      <c r="W94" s="291"/>
      <c r="X94" s="293"/>
      <c r="Y94" s="291"/>
      <c r="Z94" s="294"/>
      <c r="AA94" s="291"/>
      <c r="AB94" s="293"/>
    </row>
    <row r="95">
      <c r="A95" s="283"/>
      <c r="B95" s="283"/>
      <c r="C95" s="283"/>
      <c r="D95" s="283"/>
      <c r="E95" s="85" t="s">
        <v>541</v>
      </c>
      <c r="F95" s="284">
        <v>9.0</v>
      </c>
      <c r="G95" s="284">
        <v>22.0</v>
      </c>
      <c r="H95" s="284" t="s">
        <v>735</v>
      </c>
      <c r="I95" s="346" t="s">
        <v>66</v>
      </c>
      <c r="J95" s="346" t="s">
        <v>53</v>
      </c>
      <c r="K95" s="284" t="s">
        <v>681</v>
      </c>
      <c r="L95" s="284" t="s">
        <v>287</v>
      </c>
      <c r="M95" s="372">
        <v>4.311905587E9</v>
      </c>
      <c r="N95" s="288"/>
      <c r="O95" s="288"/>
      <c r="P95" s="93" t="s">
        <v>70</v>
      </c>
      <c r="Q95" s="145">
        <v>1.0E8</v>
      </c>
      <c r="R95" s="146">
        <v>0.145</v>
      </c>
      <c r="S95" s="289" t="s">
        <v>735</v>
      </c>
      <c r="T95" s="310"/>
      <c r="U95" s="310"/>
      <c r="V95" s="148" t="s">
        <v>167</v>
      </c>
      <c r="W95" s="291"/>
      <c r="X95" s="293"/>
      <c r="Y95" s="291"/>
      <c r="Z95" s="294"/>
      <c r="AA95" s="291"/>
      <c r="AB95" s="293"/>
    </row>
    <row r="96" hidden="1">
      <c r="A96" s="297"/>
      <c r="B96" s="297"/>
      <c r="C96" s="297"/>
      <c r="D96" s="297"/>
      <c r="E96" s="109" t="s">
        <v>541</v>
      </c>
      <c r="F96" s="298">
        <v>9.0</v>
      </c>
      <c r="G96" s="298">
        <v>26.0</v>
      </c>
      <c r="H96" s="298" t="s">
        <v>739</v>
      </c>
      <c r="I96" s="351" t="s">
        <v>66</v>
      </c>
      <c r="J96" s="351" t="s">
        <v>89</v>
      </c>
      <c r="K96" s="373">
        <v>46294.0</v>
      </c>
      <c r="L96" s="298" t="s">
        <v>686</v>
      </c>
      <c r="M96" s="374">
        <v>2.573513099E9</v>
      </c>
      <c r="N96" s="302"/>
      <c r="O96" s="302"/>
      <c r="P96" s="342" t="s">
        <v>233</v>
      </c>
      <c r="Q96" s="200" t="s">
        <v>70</v>
      </c>
      <c r="R96" s="205">
        <v>0.155</v>
      </c>
      <c r="S96" s="316" t="s">
        <v>739</v>
      </c>
      <c r="T96" s="304"/>
      <c r="U96" s="304" t="s">
        <v>392</v>
      </c>
      <c r="V96" s="154" t="s">
        <v>167</v>
      </c>
      <c r="W96" s="317"/>
      <c r="X96" s="306"/>
      <c r="Y96" s="305"/>
      <c r="Z96" s="307"/>
      <c r="AA96" s="305"/>
      <c r="AB96" s="306"/>
    </row>
    <row r="97" hidden="1">
      <c r="A97" s="297"/>
      <c r="B97" s="297"/>
      <c r="C97" s="297"/>
      <c r="D97" s="297"/>
      <c r="E97" s="109" t="s">
        <v>541</v>
      </c>
      <c r="F97" s="109">
        <v>19.0</v>
      </c>
      <c r="G97" s="109">
        <v>32.0</v>
      </c>
      <c r="H97" s="298" t="s">
        <v>743</v>
      </c>
      <c r="I97" s="113" t="s">
        <v>66</v>
      </c>
      <c r="J97" s="113" t="s">
        <v>89</v>
      </c>
      <c r="K97" s="298" t="s">
        <v>300</v>
      </c>
      <c r="L97" s="109" t="s">
        <v>299</v>
      </c>
      <c r="M97" s="375">
        <v>3.201973003E9</v>
      </c>
      <c r="N97" s="302"/>
      <c r="O97" s="302"/>
      <c r="P97" s="200" t="s">
        <v>233</v>
      </c>
      <c r="Q97" s="200" t="s">
        <v>70</v>
      </c>
      <c r="R97" s="205">
        <v>0.155</v>
      </c>
      <c r="S97" s="316" t="s">
        <v>743</v>
      </c>
      <c r="T97" s="304"/>
      <c r="U97" s="304" t="s">
        <v>392</v>
      </c>
      <c r="V97" s="154" t="s">
        <v>167</v>
      </c>
      <c r="W97" s="305"/>
      <c r="X97" s="306"/>
      <c r="Y97" s="305"/>
      <c r="Z97" s="307"/>
      <c r="AA97" s="305"/>
      <c r="AB97" s="306"/>
    </row>
    <row r="98" hidden="1">
      <c r="A98" s="297"/>
      <c r="B98" s="297"/>
      <c r="C98" s="297"/>
      <c r="D98" s="297"/>
      <c r="E98" s="109" t="s">
        <v>541</v>
      </c>
      <c r="F98" s="109">
        <v>17.0</v>
      </c>
      <c r="G98" s="109">
        <v>15.0</v>
      </c>
      <c r="H98" s="298" t="s">
        <v>746</v>
      </c>
      <c r="I98" s="113" t="s">
        <v>66</v>
      </c>
      <c r="J98" s="113" t="s">
        <v>53</v>
      </c>
      <c r="K98" s="298" t="s">
        <v>288</v>
      </c>
      <c r="L98" s="109" t="s">
        <v>287</v>
      </c>
      <c r="M98" s="375">
        <v>3.500880122E9</v>
      </c>
      <c r="N98" s="302"/>
      <c r="O98" s="302"/>
      <c r="P98" s="200" t="s">
        <v>233</v>
      </c>
      <c r="Q98" s="200" t="s">
        <v>70</v>
      </c>
      <c r="R98" s="205">
        <v>0.155</v>
      </c>
      <c r="S98" s="316" t="s">
        <v>746</v>
      </c>
      <c r="T98" s="304"/>
      <c r="U98" s="304" t="s">
        <v>392</v>
      </c>
      <c r="V98" s="154" t="s">
        <v>748</v>
      </c>
      <c r="W98" s="305"/>
      <c r="X98" s="306"/>
      <c r="Y98" s="305"/>
      <c r="Z98" s="307"/>
      <c r="AA98" s="305"/>
      <c r="AB98" s="306"/>
    </row>
    <row r="99" hidden="1">
      <c r="B99" s="162"/>
      <c r="C99" s="162"/>
      <c r="D99" s="162"/>
      <c r="E99" s="50" t="s">
        <v>750</v>
      </c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2"/>
      <c r="V99" s="3"/>
      <c r="W99" s="3"/>
      <c r="X99" s="3"/>
      <c r="Y99" s="378"/>
      <c r="AA99" s="27"/>
      <c r="AB99" s="27"/>
    </row>
    <row r="100" ht="27.75" hidden="1" customHeight="1">
      <c r="A100" s="379" t="s">
        <v>5</v>
      </c>
      <c r="B100" s="57" t="s">
        <v>32</v>
      </c>
      <c r="C100" s="59" t="s">
        <v>34</v>
      </c>
      <c r="D100" s="59" t="s">
        <v>753</v>
      </c>
      <c r="E100" s="59" t="s">
        <v>36</v>
      </c>
      <c r="F100" s="59" t="s">
        <v>37</v>
      </c>
      <c r="G100" s="59" t="s">
        <v>38</v>
      </c>
      <c r="H100" s="59" t="s">
        <v>39</v>
      </c>
      <c r="I100" s="61" t="s">
        <v>754</v>
      </c>
      <c r="J100" s="59" t="s">
        <v>41</v>
      </c>
      <c r="K100" s="59" t="s">
        <v>42</v>
      </c>
      <c r="L100" s="59" t="s">
        <v>43</v>
      </c>
      <c r="M100" s="59" t="s">
        <v>18</v>
      </c>
      <c r="N100" s="61"/>
      <c r="O100" s="61"/>
      <c r="P100" s="63" t="s">
        <v>45</v>
      </c>
      <c r="Q100" s="51"/>
      <c r="R100" s="65"/>
      <c r="S100" s="59" t="s">
        <v>46</v>
      </c>
      <c r="T100" s="59" t="s">
        <v>47</v>
      </c>
      <c r="U100" s="67"/>
      <c r="V100" s="3"/>
      <c r="W100" s="3"/>
      <c r="X100" s="3"/>
      <c r="Y100" s="45"/>
      <c r="Z100" s="45"/>
      <c r="AA100" s="45"/>
      <c r="AB100" s="45"/>
    </row>
    <row r="101" hidden="1">
      <c r="A101" s="69"/>
      <c r="B101" s="65"/>
      <c r="C101" s="65"/>
      <c r="D101" s="65"/>
      <c r="E101" s="65"/>
      <c r="F101" s="65"/>
      <c r="G101" s="65"/>
      <c r="H101" s="65"/>
      <c r="I101" s="61" t="s">
        <v>760</v>
      </c>
      <c r="J101" s="65"/>
      <c r="K101" s="65"/>
      <c r="L101" s="65"/>
      <c r="M101" s="65"/>
      <c r="N101" s="380"/>
      <c r="O101" s="380"/>
      <c r="P101" s="72" t="s">
        <v>54</v>
      </c>
      <c r="Q101" s="72" t="s">
        <v>55</v>
      </c>
      <c r="R101" s="72" t="s">
        <v>56</v>
      </c>
      <c r="S101" s="65"/>
      <c r="T101" s="65"/>
      <c r="U101" s="67"/>
      <c r="V101" s="3"/>
      <c r="W101" s="3"/>
      <c r="X101" s="3"/>
      <c r="Y101" s="45"/>
      <c r="Z101" s="45"/>
      <c r="AA101" s="45"/>
      <c r="AB101" s="45"/>
    </row>
    <row r="102" hidden="1">
      <c r="A102" s="105">
        <v>1.0</v>
      </c>
      <c r="B102" s="106" t="s">
        <v>762</v>
      </c>
      <c r="C102" s="381"/>
      <c r="D102" s="381" t="s">
        <v>763</v>
      </c>
      <c r="E102" s="381" t="s">
        <v>609</v>
      </c>
      <c r="F102" s="110" t="s">
        <v>126</v>
      </c>
      <c r="G102" s="109" t="s">
        <v>228</v>
      </c>
      <c r="H102" s="109" t="s">
        <v>765</v>
      </c>
      <c r="I102" s="113" t="s">
        <v>66</v>
      </c>
      <c r="J102" s="113" t="s">
        <v>89</v>
      </c>
      <c r="K102" s="109">
        <v>34.9</v>
      </c>
      <c r="L102" s="109">
        <v>40.0</v>
      </c>
      <c r="M102" s="116">
        <v>2.79601249E9</v>
      </c>
      <c r="N102" s="381"/>
      <c r="O102" s="381"/>
      <c r="P102" s="381"/>
      <c r="Q102" s="381"/>
      <c r="R102" s="381"/>
      <c r="S102" s="381"/>
      <c r="T102" s="381" t="s">
        <v>769</v>
      </c>
      <c r="U102" s="382"/>
      <c r="Y102" s="149" t="s">
        <v>771</v>
      </c>
      <c r="Z102" s="149" t="s">
        <v>10</v>
      </c>
      <c r="AA102" s="45"/>
      <c r="AB102" s="45"/>
    </row>
    <row r="103" hidden="1">
      <c r="A103" s="105">
        <f t="shared" ref="A103:A113" si="1">A102+1</f>
        <v>2</v>
      </c>
      <c r="B103" s="106" t="s">
        <v>762</v>
      </c>
      <c r="C103" s="381"/>
      <c r="D103" s="381" t="s">
        <v>774</v>
      </c>
      <c r="E103" s="381" t="s">
        <v>609</v>
      </c>
      <c r="F103" s="110" t="s">
        <v>126</v>
      </c>
      <c r="G103" s="110" t="s">
        <v>80</v>
      </c>
      <c r="H103" s="109" t="s">
        <v>775</v>
      </c>
      <c r="I103" s="113" t="s">
        <v>66</v>
      </c>
      <c r="J103" s="113" t="s">
        <v>53</v>
      </c>
      <c r="K103" s="109">
        <v>53.7</v>
      </c>
      <c r="L103" s="109">
        <v>59.1</v>
      </c>
      <c r="M103" s="116">
        <v>4.288519527E9</v>
      </c>
      <c r="N103" s="381"/>
      <c r="O103" s="381"/>
      <c r="P103" s="381"/>
      <c r="Q103" s="381"/>
      <c r="R103" s="381"/>
      <c r="S103" s="381"/>
      <c r="T103" s="381" t="s">
        <v>769</v>
      </c>
      <c r="U103" s="382"/>
      <c r="Y103" s="149" t="s">
        <v>771</v>
      </c>
      <c r="Z103" s="149" t="s">
        <v>10</v>
      </c>
      <c r="AA103" s="45"/>
      <c r="AB103" s="45"/>
    </row>
    <row r="104" hidden="1">
      <c r="A104" s="105">
        <f t="shared" si="1"/>
        <v>3</v>
      </c>
      <c r="B104" s="106" t="s">
        <v>762</v>
      </c>
      <c r="C104" s="383"/>
      <c r="D104" s="383" t="s">
        <v>438</v>
      </c>
      <c r="E104" s="381" t="s">
        <v>609</v>
      </c>
      <c r="F104" s="110" t="s">
        <v>126</v>
      </c>
      <c r="G104" s="109">
        <v>27.0</v>
      </c>
      <c r="H104" s="109" t="s">
        <v>782</v>
      </c>
      <c r="I104" s="113" t="s">
        <v>66</v>
      </c>
      <c r="J104" s="113" t="s">
        <v>783</v>
      </c>
      <c r="K104" s="109">
        <v>50.8</v>
      </c>
      <c r="L104" s="109">
        <v>55.5</v>
      </c>
      <c r="M104" s="116">
        <v>3.28787572E9</v>
      </c>
      <c r="N104" s="383"/>
      <c r="O104" s="383"/>
      <c r="P104" s="383"/>
      <c r="Q104" s="383"/>
      <c r="R104" s="383"/>
      <c r="S104" s="383"/>
      <c r="T104" s="383" t="s">
        <v>108</v>
      </c>
      <c r="U104" s="384"/>
      <c r="Y104" s="149" t="s">
        <v>786</v>
      </c>
      <c r="Z104" s="149" t="s">
        <v>10</v>
      </c>
      <c r="AA104" s="45"/>
      <c r="AB104" s="45"/>
    </row>
    <row r="105" hidden="1">
      <c r="A105" s="105">
        <f t="shared" si="1"/>
        <v>4</v>
      </c>
      <c r="B105" s="106" t="s">
        <v>762</v>
      </c>
      <c r="C105" s="383"/>
      <c r="D105" s="383" t="s">
        <v>432</v>
      </c>
      <c r="E105" s="381" t="s">
        <v>609</v>
      </c>
      <c r="F105" s="110" t="s">
        <v>126</v>
      </c>
      <c r="G105" s="109">
        <v>34.0</v>
      </c>
      <c r="H105" s="109" t="s">
        <v>788</v>
      </c>
      <c r="I105" s="113" t="s">
        <v>66</v>
      </c>
      <c r="J105" s="113" t="s">
        <v>89</v>
      </c>
      <c r="K105" s="109">
        <v>28.9</v>
      </c>
      <c r="L105" s="109">
        <v>32.7</v>
      </c>
      <c r="M105" s="116">
        <v>3.277882782E9</v>
      </c>
      <c r="N105" s="383"/>
      <c r="O105" s="383"/>
      <c r="P105" s="383"/>
      <c r="Q105" s="383"/>
      <c r="R105" s="383"/>
      <c r="S105" s="383"/>
      <c r="T105" s="383" t="s">
        <v>769</v>
      </c>
      <c r="U105" s="384"/>
      <c r="Y105" s="149" t="s">
        <v>790</v>
      </c>
      <c r="Z105" s="149" t="s">
        <v>10</v>
      </c>
      <c r="AA105" s="45"/>
      <c r="AB105" s="45"/>
    </row>
    <row r="106" hidden="1">
      <c r="A106" s="105">
        <f t="shared" si="1"/>
        <v>5</v>
      </c>
      <c r="B106" s="106" t="s">
        <v>762</v>
      </c>
      <c r="C106" s="383"/>
      <c r="D106" s="383" t="s">
        <v>432</v>
      </c>
      <c r="E106" s="381" t="s">
        <v>609</v>
      </c>
      <c r="F106" s="110" t="s">
        <v>126</v>
      </c>
      <c r="G106" s="109">
        <v>38.0</v>
      </c>
      <c r="H106" s="109" t="s">
        <v>792</v>
      </c>
      <c r="I106" s="113" t="s">
        <v>66</v>
      </c>
      <c r="J106" s="113" t="s">
        <v>53</v>
      </c>
      <c r="K106" s="109">
        <v>54.1</v>
      </c>
      <c r="L106" s="109">
        <v>58.5</v>
      </c>
      <c r="M106" s="116">
        <v>5.538454509E9</v>
      </c>
      <c r="N106" s="383"/>
      <c r="O106" s="383"/>
      <c r="P106" s="383"/>
      <c r="Q106" s="383"/>
      <c r="R106" s="383"/>
      <c r="S106" s="383"/>
      <c r="T106" s="383" t="s">
        <v>769</v>
      </c>
      <c r="U106" s="384"/>
      <c r="Y106" s="149" t="s">
        <v>794</v>
      </c>
      <c r="Z106" s="149" t="s">
        <v>10</v>
      </c>
      <c r="AA106" s="45"/>
      <c r="AB106" s="45"/>
    </row>
    <row r="107" hidden="1">
      <c r="A107" s="105">
        <f t="shared" si="1"/>
        <v>6</v>
      </c>
      <c r="B107" s="106" t="s">
        <v>795</v>
      </c>
      <c r="C107" s="383"/>
      <c r="D107" s="383" t="s">
        <v>774</v>
      </c>
      <c r="E107" s="381" t="s">
        <v>609</v>
      </c>
      <c r="F107" s="109">
        <v>23.0</v>
      </c>
      <c r="G107" s="110" t="s">
        <v>64</v>
      </c>
      <c r="H107" s="109" t="s">
        <v>797</v>
      </c>
      <c r="I107" s="113" t="s">
        <v>66</v>
      </c>
      <c r="J107" s="113" t="s">
        <v>24</v>
      </c>
      <c r="K107" s="109">
        <v>71.1</v>
      </c>
      <c r="L107" s="109">
        <v>77.0</v>
      </c>
      <c r="M107" s="116">
        <v>7.559544951E9</v>
      </c>
      <c r="N107" s="383"/>
      <c r="O107" s="383"/>
      <c r="P107" s="383" t="s">
        <v>195</v>
      </c>
      <c r="Q107" s="383" t="s">
        <v>195</v>
      </c>
      <c r="R107" s="200" t="s">
        <v>798</v>
      </c>
      <c r="S107" s="388" t="s">
        <v>797</v>
      </c>
      <c r="T107" s="383" t="s">
        <v>73</v>
      </c>
      <c r="U107" s="384"/>
      <c r="Y107" s="121" t="s">
        <v>802</v>
      </c>
      <c r="Z107" s="149" t="s">
        <v>10</v>
      </c>
    </row>
    <row r="108" hidden="1">
      <c r="A108" s="77">
        <f t="shared" si="1"/>
        <v>7</v>
      </c>
      <c r="B108" s="78" t="s">
        <v>795</v>
      </c>
      <c r="C108" s="390"/>
      <c r="D108" s="390" t="s">
        <v>774</v>
      </c>
      <c r="E108" s="391" t="s">
        <v>609</v>
      </c>
      <c r="F108" s="85">
        <v>23.0</v>
      </c>
      <c r="G108" s="87" t="s">
        <v>63</v>
      </c>
      <c r="H108" s="85" t="s">
        <v>804</v>
      </c>
      <c r="I108" s="89" t="s">
        <v>66</v>
      </c>
      <c r="J108" s="89" t="s">
        <v>53</v>
      </c>
      <c r="K108" s="85">
        <v>54.6</v>
      </c>
      <c r="L108" s="85">
        <v>59.1</v>
      </c>
      <c r="M108" s="91">
        <v>5.094984603E9</v>
      </c>
      <c r="N108" s="390"/>
      <c r="O108" s="390"/>
      <c r="P108" s="390" t="s">
        <v>70</v>
      </c>
      <c r="Q108" s="390" t="s">
        <v>195</v>
      </c>
      <c r="R108" s="95">
        <v>0.14</v>
      </c>
      <c r="S108" s="393" t="s">
        <v>804</v>
      </c>
      <c r="T108" s="390" t="s">
        <v>108</v>
      </c>
      <c r="U108" s="394"/>
      <c r="V108" s="121"/>
    </row>
    <row r="109" hidden="1">
      <c r="A109" s="105">
        <f t="shared" si="1"/>
        <v>8</v>
      </c>
      <c r="B109" s="106" t="s">
        <v>795</v>
      </c>
      <c r="C109" s="383"/>
      <c r="D109" s="383" t="s">
        <v>809</v>
      </c>
      <c r="E109" s="381" t="s">
        <v>609</v>
      </c>
      <c r="F109" s="109">
        <v>23.0</v>
      </c>
      <c r="G109" s="109">
        <v>15.0</v>
      </c>
      <c r="H109" s="109" t="s">
        <v>810</v>
      </c>
      <c r="I109" s="113" t="s">
        <v>66</v>
      </c>
      <c r="J109" s="113" t="s">
        <v>89</v>
      </c>
      <c r="K109" s="109">
        <v>31.8</v>
      </c>
      <c r="L109" s="109">
        <v>35.3</v>
      </c>
      <c r="M109" s="116">
        <v>2.740613134E9</v>
      </c>
      <c r="N109" s="383"/>
      <c r="O109" s="383"/>
      <c r="P109" s="383"/>
      <c r="Q109" s="383"/>
      <c r="R109" s="200" t="s">
        <v>798</v>
      </c>
      <c r="S109" s="383"/>
      <c r="T109" s="383" t="s">
        <v>95</v>
      </c>
      <c r="U109" s="384"/>
      <c r="Y109" s="121" t="s">
        <v>771</v>
      </c>
      <c r="Z109" s="121" t="s">
        <v>10</v>
      </c>
    </row>
    <row r="110" hidden="1">
      <c r="A110" s="105">
        <f t="shared" si="1"/>
        <v>9</v>
      </c>
      <c r="B110" s="106" t="s">
        <v>795</v>
      </c>
      <c r="C110" s="383"/>
      <c r="D110" s="383" t="s">
        <v>809</v>
      </c>
      <c r="E110" s="381" t="s">
        <v>609</v>
      </c>
      <c r="F110" s="109">
        <v>23.0</v>
      </c>
      <c r="G110" s="109">
        <v>17.0</v>
      </c>
      <c r="H110" s="109" t="s">
        <v>813</v>
      </c>
      <c r="I110" s="113" t="s">
        <v>66</v>
      </c>
      <c r="J110" s="113" t="s">
        <v>53</v>
      </c>
      <c r="K110" s="109">
        <v>53.1</v>
      </c>
      <c r="L110" s="109">
        <v>57.5</v>
      </c>
      <c r="M110" s="116">
        <v>4.074323458E9</v>
      </c>
      <c r="N110" s="383"/>
      <c r="O110" s="383"/>
      <c r="P110" s="383"/>
      <c r="Q110" s="383"/>
      <c r="R110" s="200" t="s">
        <v>798</v>
      </c>
      <c r="S110" s="383"/>
      <c r="T110" s="383" t="s">
        <v>108</v>
      </c>
      <c r="U110" s="384"/>
      <c r="Y110" s="121" t="s">
        <v>756</v>
      </c>
      <c r="Z110" s="121" t="s">
        <v>10</v>
      </c>
    </row>
    <row r="111" hidden="1">
      <c r="A111" s="105">
        <f t="shared" si="1"/>
        <v>10</v>
      </c>
      <c r="B111" s="106" t="s">
        <v>795</v>
      </c>
      <c r="C111" s="383"/>
      <c r="D111" s="383" t="s">
        <v>432</v>
      </c>
      <c r="E111" s="381" t="s">
        <v>609</v>
      </c>
      <c r="F111" s="109">
        <v>23.0</v>
      </c>
      <c r="G111" s="109">
        <v>24.0</v>
      </c>
      <c r="H111" s="109" t="s">
        <v>816</v>
      </c>
      <c r="I111" s="113" t="s">
        <v>66</v>
      </c>
      <c r="J111" s="113" t="s">
        <v>53</v>
      </c>
      <c r="K111" s="109">
        <v>54.7</v>
      </c>
      <c r="L111" s="109">
        <v>59.1</v>
      </c>
      <c r="M111" s="116">
        <v>4.376516021E9</v>
      </c>
      <c r="N111" s="383"/>
      <c r="O111" s="383"/>
      <c r="P111" s="383"/>
      <c r="Q111" s="383"/>
      <c r="R111" s="200" t="s">
        <v>798</v>
      </c>
      <c r="S111" s="383"/>
      <c r="T111" s="383" t="s">
        <v>108</v>
      </c>
      <c r="U111" s="384"/>
      <c r="Y111" s="121" t="s">
        <v>96</v>
      </c>
      <c r="Z111" s="121" t="s">
        <v>10</v>
      </c>
    </row>
    <row r="112" hidden="1">
      <c r="A112" s="77">
        <f t="shared" si="1"/>
        <v>11</v>
      </c>
      <c r="B112" s="78" t="s">
        <v>795</v>
      </c>
      <c r="C112" s="390"/>
      <c r="D112" s="390" t="s">
        <v>432</v>
      </c>
      <c r="E112" s="391" t="s">
        <v>609</v>
      </c>
      <c r="F112" s="85">
        <v>23.0</v>
      </c>
      <c r="G112" s="85">
        <v>33.0</v>
      </c>
      <c r="H112" s="85" t="s">
        <v>819</v>
      </c>
      <c r="I112" s="89" t="s">
        <v>66</v>
      </c>
      <c r="J112" s="89" t="s">
        <v>53</v>
      </c>
      <c r="K112" s="85">
        <v>53.7</v>
      </c>
      <c r="L112" s="85">
        <v>59.1</v>
      </c>
      <c r="M112" s="91">
        <v>6.424689748E9</v>
      </c>
      <c r="N112" s="390"/>
      <c r="O112" s="390"/>
      <c r="P112" s="390" t="s">
        <v>70</v>
      </c>
      <c r="Q112" s="390" t="s">
        <v>195</v>
      </c>
      <c r="R112" s="93" t="s">
        <v>798</v>
      </c>
      <c r="S112" s="393" t="s">
        <v>819</v>
      </c>
      <c r="T112" s="390" t="s">
        <v>108</v>
      </c>
      <c r="U112" s="394"/>
      <c r="V112" s="121"/>
    </row>
    <row r="113" hidden="1">
      <c r="A113" s="105">
        <f t="shared" si="1"/>
        <v>12</v>
      </c>
      <c r="B113" s="106"/>
      <c r="C113" s="383"/>
      <c r="D113" s="383" t="s">
        <v>774</v>
      </c>
      <c r="E113" s="381" t="s">
        <v>609</v>
      </c>
      <c r="F113" s="109">
        <v>19.0</v>
      </c>
      <c r="G113" s="109">
        <v>10.0</v>
      </c>
      <c r="H113" s="109" t="s">
        <v>823</v>
      </c>
      <c r="I113" s="113" t="s">
        <v>66</v>
      </c>
      <c r="J113" s="113" t="s">
        <v>422</v>
      </c>
      <c r="K113" s="109" t="s">
        <v>824</v>
      </c>
      <c r="L113" s="109">
        <v>113.0</v>
      </c>
      <c r="M113" s="116">
        <v>9.033074067E9</v>
      </c>
      <c r="N113" s="383"/>
      <c r="O113" s="383"/>
      <c r="P113" s="383"/>
      <c r="Q113" s="383"/>
      <c r="R113" s="200" t="s">
        <v>798</v>
      </c>
      <c r="S113" s="383"/>
      <c r="T113" s="383" t="s">
        <v>95</v>
      </c>
      <c r="U113" s="384"/>
      <c r="Y113" s="121" t="s">
        <v>96</v>
      </c>
      <c r="Z113" s="121" t="s">
        <v>10</v>
      </c>
    </row>
    <row r="114" hidden="1">
      <c r="A114" s="105" t="str">
        <f>#REF!+1</f>
        <v>#REF!</v>
      </c>
      <c r="B114" s="106"/>
      <c r="C114" s="383"/>
      <c r="D114" s="139"/>
      <c r="E114" s="381" t="s">
        <v>609</v>
      </c>
      <c r="F114" s="109" t="s">
        <v>35</v>
      </c>
      <c r="G114" s="109">
        <v>16.0</v>
      </c>
      <c r="H114" s="109" t="s">
        <v>827</v>
      </c>
      <c r="I114" s="113" t="s">
        <v>66</v>
      </c>
      <c r="J114" s="113" t="s">
        <v>53</v>
      </c>
      <c r="K114" s="109">
        <v>54.6</v>
      </c>
      <c r="L114" s="109">
        <v>59.8</v>
      </c>
      <c r="M114" s="116">
        <v>3.571527984E9</v>
      </c>
      <c r="N114" s="383"/>
      <c r="O114" s="383"/>
      <c r="P114" s="383"/>
      <c r="Q114" s="383"/>
      <c r="R114" s="383">
        <v>0.14</v>
      </c>
      <c r="S114" s="383"/>
      <c r="T114" s="383" t="s">
        <v>95</v>
      </c>
      <c r="U114" s="384"/>
      <c r="Y114" s="121" t="s">
        <v>57</v>
      </c>
      <c r="Z114" s="121" t="s">
        <v>10</v>
      </c>
    </row>
    <row r="115" hidden="1">
      <c r="A115" s="105" t="str">
        <f t="shared" ref="A115:A118" si="2">A114+1</f>
        <v>#REF!</v>
      </c>
      <c r="B115" s="106"/>
      <c r="C115" s="383"/>
      <c r="D115" s="139"/>
      <c r="E115" s="381" t="s">
        <v>609</v>
      </c>
      <c r="F115" s="109">
        <v>19.0</v>
      </c>
      <c r="G115" s="109">
        <v>28.0</v>
      </c>
      <c r="H115" s="109" t="s">
        <v>832</v>
      </c>
      <c r="I115" s="113" t="s">
        <v>66</v>
      </c>
      <c r="J115" s="113" t="s">
        <v>89</v>
      </c>
      <c r="K115" s="109">
        <v>30.7</v>
      </c>
      <c r="L115" s="109">
        <v>34.6</v>
      </c>
      <c r="M115" s="116">
        <v>2.530083666E9</v>
      </c>
      <c r="N115" s="383"/>
      <c r="O115" s="383"/>
      <c r="P115" s="383"/>
      <c r="Q115" s="383"/>
      <c r="R115" s="383">
        <v>0.14</v>
      </c>
      <c r="S115" s="383"/>
      <c r="T115" s="383" t="s">
        <v>95</v>
      </c>
      <c r="U115" s="384"/>
      <c r="Y115" s="121" t="s">
        <v>790</v>
      </c>
      <c r="Z115" s="121" t="s">
        <v>10</v>
      </c>
    </row>
    <row r="116" hidden="1">
      <c r="A116" s="105" t="str">
        <f t="shared" si="2"/>
        <v>#REF!</v>
      </c>
      <c r="B116" s="106"/>
      <c r="C116" s="383"/>
      <c r="D116" s="139"/>
      <c r="E116" s="381" t="s">
        <v>609</v>
      </c>
      <c r="F116" s="109" t="s">
        <v>35</v>
      </c>
      <c r="G116" s="109">
        <v>20.0</v>
      </c>
      <c r="H116" s="109" t="s">
        <v>836</v>
      </c>
      <c r="I116" s="113" t="s">
        <v>66</v>
      </c>
      <c r="J116" s="113" t="s">
        <v>53</v>
      </c>
      <c r="K116" s="109">
        <v>55.7</v>
      </c>
      <c r="L116" s="109">
        <v>60.3</v>
      </c>
      <c r="M116" s="116">
        <v>3.641738697E9</v>
      </c>
      <c r="N116" s="383"/>
      <c r="O116" s="383"/>
      <c r="P116" s="383"/>
      <c r="Q116" s="383"/>
      <c r="R116" s="383">
        <v>0.14</v>
      </c>
      <c r="S116" s="383"/>
      <c r="T116" s="383" t="s">
        <v>95</v>
      </c>
      <c r="U116" s="384"/>
      <c r="Y116" s="121" t="s">
        <v>838</v>
      </c>
      <c r="Z116" s="121" t="s">
        <v>10</v>
      </c>
    </row>
    <row r="117" hidden="1">
      <c r="A117" s="105" t="str">
        <f t="shared" si="2"/>
        <v>#REF!</v>
      </c>
      <c r="B117" s="106"/>
      <c r="C117" s="383"/>
      <c r="D117" s="139"/>
      <c r="E117" s="381" t="s">
        <v>609</v>
      </c>
      <c r="F117" s="109">
        <v>15.0</v>
      </c>
      <c r="G117" s="109">
        <v>20.0</v>
      </c>
      <c r="H117" s="109" t="s">
        <v>840</v>
      </c>
      <c r="I117" s="113" t="s">
        <v>66</v>
      </c>
      <c r="J117" s="113" t="s">
        <v>53</v>
      </c>
      <c r="K117" s="109">
        <v>55.7</v>
      </c>
      <c r="L117" s="109">
        <v>60.3</v>
      </c>
      <c r="M117" s="116">
        <v>3.833677882E9</v>
      </c>
      <c r="N117" s="383"/>
      <c r="O117" s="383"/>
      <c r="P117" s="383"/>
      <c r="Q117" s="383"/>
      <c r="R117" s="383">
        <v>0.14</v>
      </c>
      <c r="S117" s="383"/>
      <c r="T117" s="383" t="s">
        <v>95</v>
      </c>
      <c r="U117" s="384"/>
      <c r="Y117" s="121" t="s">
        <v>841</v>
      </c>
      <c r="Z117" s="121" t="s">
        <v>10</v>
      </c>
    </row>
    <row r="118" hidden="1">
      <c r="A118" s="105" t="str">
        <f t="shared" si="2"/>
        <v>#REF!</v>
      </c>
      <c r="B118" s="106"/>
      <c r="C118" s="383"/>
      <c r="D118" s="139"/>
      <c r="E118" s="381" t="s">
        <v>609</v>
      </c>
      <c r="F118" s="110" t="s">
        <v>311</v>
      </c>
      <c r="G118" s="110" t="s">
        <v>275</v>
      </c>
      <c r="H118" s="109" t="s">
        <v>844</v>
      </c>
      <c r="I118" s="113" t="s">
        <v>66</v>
      </c>
      <c r="J118" s="113" t="s">
        <v>89</v>
      </c>
      <c r="K118" s="109">
        <v>31.5</v>
      </c>
      <c r="L118" s="109"/>
      <c r="M118" s="116">
        <v>2.735069487E9</v>
      </c>
      <c r="N118" s="383"/>
      <c r="O118" s="383"/>
      <c r="P118" s="383"/>
      <c r="Q118" s="383"/>
      <c r="R118" s="383">
        <v>0.14</v>
      </c>
      <c r="S118" s="383"/>
      <c r="T118" s="383" t="s">
        <v>95</v>
      </c>
      <c r="U118" s="384"/>
      <c r="Y118" s="121" t="s">
        <v>847</v>
      </c>
      <c r="Z118" s="121" t="s">
        <v>10</v>
      </c>
    </row>
    <row r="119" hidden="1">
      <c r="A119" s="77"/>
      <c r="B119" s="78"/>
      <c r="C119" s="390"/>
      <c r="D119" s="139"/>
      <c r="E119" s="391" t="s">
        <v>609</v>
      </c>
      <c r="F119" s="87" t="s">
        <v>311</v>
      </c>
      <c r="G119" s="85">
        <v>38.0</v>
      </c>
      <c r="H119" s="85" t="s">
        <v>849</v>
      </c>
      <c r="I119" s="89" t="s">
        <v>66</v>
      </c>
      <c r="J119" s="89" t="s">
        <v>53</v>
      </c>
      <c r="K119" s="85">
        <v>51.4</v>
      </c>
      <c r="L119" s="85"/>
      <c r="M119" s="91">
        <v>5.435641766E9</v>
      </c>
      <c r="N119" s="390"/>
      <c r="O119" s="390"/>
      <c r="P119" s="390" t="s">
        <v>70</v>
      </c>
      <c r="Q119" s="390" t="s">
        <v>195</v>
      </c>
      <c r="R119" s="95">
        <v>0.14</v>
      </c>
      <c r="S119" s="393" t="s">
        <v>849</v>
      </c>
      <c r="T119" s="390" t="s">
        <v>108</v>
      </c>
      <c r="U119" s="394"/>
      <c r="V119" s="121"/>
    </row>
    <row r="120" hidden="1">
      <c r="A120" s="77"/>
      <c r="B120" s="78"/>
      <c r="C120" s="390"/>
      <c r="D120" s="139"/>
      <c r="E120" s="391" t="s">
        <v>609</v>
      </c>
      <c r="F120" s="285" t="s">
        <v>275</v>
      </c>
      <c r="G120" s="285" t="s">
        <v>853</v>
      </c>
      <c r="H120" s="285" t="s">
        <v>855</v>
      </c>
      <c r="I120" s="286" t="s">
        <v>66</v>
      </c>
      <c r="J120" s="397" t="s">
        <v>24</v>
      </c>
      <c r="K120" s="286" t="s">
        <v>355</v>
      </c>
      <c r="L120" s="285">
        <v>72.0</v>
      </c>
      <c r="M120" s="398">
        <v>7.579670369E9</v>
      </c>
      <c r="N120" s="390"/>
      <c r="O120" s="390"/>
      <c r="P120" s="93" t="s">
        <v>70</v>
      </c>
      <c r="Q120" s="215">
        <v>1.4E8</v>
      </c>
      <c r="R120" s="146">
        <v>0.145</v>
      </c>
      <c r="S120" s="399" t="s">
        <v>855</v>
      </c>
      <c r="T120" s="160"/>
      <c r="U120" s="160"/>
      <c r="V120" s="148" t="s">
        <v>167</v>
      </c>
    </row>
    <row r="121" hidden="1">
      <c r="A121" s="77"/>
      <c r="B121" s="78"/>
      <c r="C121" s="390"/>
      <c r="D121" s="139"/>
      <c r="E121" s="391" t="s">
        <v>609</v>
      </c>
      <c r="F121" s="285" t="s">
        <v>275</v>
      </c>
      <c r="G121" s="285" t="s">
        <v>859</v>
      </c>
      <c r="H121" s="285" t="s">
        <v>860</v>
      </c>
      <c r="I121" s="286" t="s">
        <v>66</v>
      </c>
      <c r="J121" s="397" t="s">
        <v>24</v>
      </c>
      <c r="K121" s="286" t="s">
        <v>403</v>
      </c>
      <c r="L121" s="285">
        <v>77.0</v>
      </c>
      <c r="M121" s="398">
        <v>7.45805408E9</v>
      </c>
      <c r="N121" s="390"/>
      <c r="O121" s="390"/>
      <c r="P121" s="93" t="s">
        <v>70</v>
      </c>
      <c r="Q121" s="215">
        <v>1.4E8</v>
      </c>
      <c r="R121" s="146">
        <v>0.145</v>
      </c>
      <c r="S121" s="399" t="s">
        <v>860</v>
      </c>
      <c r="T121" s="160"/>
      <c r="U121" s="160"/>
      <c r="V121" s="148" t="s">
        <v>167</v>
      </c>
    </row>
    <row r="122" hidden="1">
      <c r="A122" s="77"/>
      <c r="B122" s="78"/>
      <c r="C122" s="390"/>
      <c r="D122" s="139"/>
      <c r="E122" s="391" t="s">
        <v>609</v>
      </c>
      <c r="F122" s="285" t="s">
        <v>865</v>
      </c>
      <c r="G122" s="285" t="s">
        <v>154</v>
      </c>
      <c r="H122" s="285" t="s">
        <v>867</v>
      </c>
      <c r="I122" s="286" t="s">
        <v>66</v>
      </c>
      <c r="J122" s="397" t="s">
        <v>53</v>
      </c>
      <c r="K122" s="286" t="s">
        <v>861</v>
      </c>
      <c r="L122" s="285" t="s">
        <v>161</v>
      </c>
      <c r="M122" s="398">
        <v>4.323471848E9</v>
      </c>
      <c r="N122" s="390"/>
      <c r="O122" s="390"/>
      <c r="P122" s="93" t="s">
        <v>70</v>
      </c>
      <c r="Q122" s="145">
        <v>1.0E8</v>
      </c>
      <c r="R122" s="146">
        <v>0.145</v>
      </c>
      <c r="S122" s="399" t="s">
        <v>867</v>
      </c>
      <c r="T122" s="160"/>
      <c r="U122" s="160"/>
      <c r="V122" s="148" t="s">
        <v>167</v>
      </c>
    </row>
    <row r="123" hidden="1">
      <c r="A123" s="77"/>
      <c r="B123" s="78"/>
      <c r="C123" s="390"/>
      <c r="D123" s="139"/>
      <c r="E123" s="391" t="s">
        <v>609</v>
      </c>
      <c r="F123" s="285" t="s">
        <v>865</v>
      </c>
      <c r="G123" s="285" t="s">
        <v>126</v>
      </c>
      <c r="H123" s="285" t="s">
        <v>871</v>
      </c>
      <c r="I123" s="286" t="s">
        <v>66</v>
      </c>
      <c r="J123" s="397" t="s">
        <v>53</v>
      </c>
      <c r="K123" s="286" t="s">
        <v>164</v>
      </c>
      <c r="L123" s="285" t="s">
        <v>864</v>
      </c>
      <c r="M123" s="398">
        <v>4.456160004E9</v>
      </c>
      <c r="N123" s="390"/>
      <c r="O123" s="390"/>
      <c r="P123" s="93" t="s">
        <v>70</v>
      </c>
      <c r="Q123" s="145">
        <v>1.0E8</v>
      </c>
      <c r="R123" s="146">
        <v>0.145</v>
      </c>
      <c r="S123" s="399" t="s">
        <v>871</v>
      </c>
      <c r="T123" s="160"/>
      <c r="U123" s="160"/>
      <c r="V123" s="148" t="s">
        <v>167</v>
      </c>
    </row>
    <row r="124" hidden="1">
      <c r="A124" s="77"/>
      <c r="B124" s="78"/>
      <c r="C124" s="390"/>
      <c r="D124" s="139"/>
      <c r="E124" s="391" t="s">
        <v>609</v>
      </c>
      <c r="F124" s="285" t="s">
        <v>269</v>
      </c>
      <c r="G124" s="285" t="s">
        <v>177</v>
      </c>
      <c r="H124" s="285" t="s">
        <v>875</v>
      </c>
      <c r="I124" s="286" t="s">
        <v>66</v>
      </c>
      <c r="J124" s="397" t="s">
        <v>53</v>
      </c>
      <c r="K124" s="286" t="s">
        <v>157</v>
      </c>
      <c r="L124" s="285" t="s">
        <v>161</v>
      </c>
      <c r="M124" s="398">
        <v>5.598640217E9</v>
      </c>
      <c r="N124" s="390"/>
      <c r="O124" s="390"/>
      <c r="P124" s="93" t="s">
        <v>70</v>
      </c>
      <c r="Q124" s="145">
        <v>1.0E8</v>
      </c>
      <c r="R124" s="146">
        <v>0.145</v>
      </c>
      <c r="S124" s="399" t="s">
        <v>875</v>
      </c>
      <c r="T124" s="160"/>
      <c r="U124" s="160"/>
      <c r="V124" s="148" t="s">
        <v>167</v>
      </c>
    </row>
    <row r="125" hidden="1">
      <c r="A125" s="77"/>
      <c r="B125" s="78"/>
      <c r="C125" s="390"/>
      <c r="D125" s="139"/>
      <c r="E125" s="391" t="s">
        <v>609</v>
      </c>
      <c r="F125" s="285" t="s">
        <v>879</v>
      </c>
      <c r="G125" s="285" t="s">
        <v>311</v>
      </c>
      <c r="H125" s="285" t="s">
        <v>880</v>
      </c>
      <c r="I125" s="286" t="s">
        <v>66</v>
      </c>
      <c r="J125" s="397" t="s">
        <v>53</v>
      </c>
      <c r="K125" s="286" t="s">
        <v>222</v>
      </c>
      <c r="L125" s="285" t="s">
        <v>161</v>
      </c>
      <c r="M125" s="398">
        <v>5.112637137E9</v>
      </c>
      <c r="N125" s="390"/>
      <c r="O125" s="390"/>
      <c r="P125" s="93" t="s">
        <v>70</v>
      </c>
      <c r="Q125" s="145">
        <v>1.0E8</v>
      </c>
      <c r="R125" s="146">
        <v>0.145</v>
      </c>
      <c r="S125" s="399" t="s">
        <v>880</v>
      </c>
      <c r="T125" s="160"/>
      <c r="U125" s="160"/>
      <c r="V125" s="148" t="s">
        <v>167</v>
      </c>
    </row>
    <row r="126" hidden="1">
      <c r="A126" s="77"/>
      <c r="B126" s="78"/>
      <c r="C126" s="390"/>
      <c r="D126" s="139"/>
      <c r="E126" s="391" t="s">
        <v>609</v>
      </c>
      <c r="F126" s="285" t="s">
        <v>879</v>
      </c>
      <c r="G126" s="285" t="s">
        <v>63</v>
      </c>
      <c r="H126" s="285" t="s">
        <v>804</v>
      </c>
      <c r="I126" s="286" t="s">
        <v>66</v>
      </c>
      <c r="J126" s="397" t="s">
        <v>53</v>
      </c>
      <c r="K126" s="286" t="s">
        <v>884</v>
      </c>
      <c r="L126" s="285" t="s">
        <v>158</v>
      </c>
      <c r="M126" s="398">
        <v>5.159888865E9</v>
      </c>
      <c r="N126" s="390"/>
      <c r="O126" s="390"/>
      <c r="P126" s="93" t="s">
        <v>70</v>
      </c>
      <c r="Q126" s="145">
        <v>1.0E8</v>
      </c>
      <c r="R126" s="146">
        <v>0.145</v>
      </c>
      <c r="S126" s="399" t="s">
        <v>804</v>
      </c>
      <c r="T126" s="160"/>
      <c r="U126" s="160"/>
      <c r="V126" s="148" t="s">
        <v>167</v>
      </c>
    </row>
    <row r="127" hidden="1">
      <c r="A127" s="77"/>
      <c r="B127" s="78"/>
      <c r="C127" s="390"/>
      <c r="D127" s="139"/>
      <c r="E127" s="391" t="s">
        <v>609</v>
      </c>
      <c r="F127" s="285" t="s">
        <v>879</v>
      </c>
      <c r="G127" s="285" t="s">
        <v>549</v>
      </c>
      <c r="H127" s="285" t="s">
        <v>888</v>
      </c>
      <c r="I127" s="286" t="s">
        <v>66</v>
      </c>
      <c r="J127" s="397" t="s">
        <v>53</v>
      </c>
      <c r="K127" s="286" t="s">
        <v>157</v>
      </c>
      <c r="L127" s="285" t="s">
        <v>161</v>
      </c>
      <c r="M127" s="398">
        <v>5.10318679E9</v>
      </c>
      <c r="N127" s="390"/>
      <c r="O127" s="390"/>
      <c r="P127" s="93" t="s">
        <v>70</v>
      </c>
      <c r="Q127" s="145">
        <v>1.0E8</v>
      </c>
      <c r="R127" s="146">
        <v>0.145</v>
      </c>
      <c r="S127" s="399" t="s">
        <v>888</v>
      </c>
      <c r="T127" s="160"/>
      <c r="U127" s="160"/>
      <c r="V127" s="148" t="s">
        <v>167</v>
      </c>
    </row>
    <row r="128" hidden="1">
      <c r="A128" s="77"/>
      <c r="B128" s="78"/>
      <c r="C128" s="390"/>
      <c r="D128" s="139"/>
      <c r="E128" s="391" t="s">
        <v>609</v>
      </c>
      <c r="F128" s="85">
        <v>16.0</v>
      </c>
      <c r="G128" s="85">
        <v>10.0</v>
      </c>
      <c r="H128" s="85" t="s">
        <v>892</v>
      </c>
      <c r="I128" s="89" t="s">
        <v>66</v>
      </c>
      <c r="J128" s="126" t="s">
        <v>422</v>
      </c>
      <c r="K128" s="89" t="s">
        <v>824</v>
      </c>
      <c r="L128" s="85">
        <v>113.0</v>
      </c>
      <c r="M128" s="91">
        <v>8.844455686E9</v>
      </c>
      <c r="N128" s="390"/>
      <c r="O128" s="390"/>
      <c r="P128" s="390" t="s">
        <v>195</v>
      </c>
      <c r="Q128" s="390" t="s">
        <v>70</v>
      </c>
      <c r="R128" s="95">
        <v>0.12</v>
      </c>
      <c r="S128" s="399" t="s">
        <v>892</v>
      </c>
      <c r="T128" s="160" t="s">
        <v>108</v>
      </c>
      <c r="U128" s="160" t="s">
        <v>199</v>
      </c>
      <c r="V128" s="148" t="s">
        <v>167</v>
      </c>
    </row>
    <row r="129" hidden="1">
      <c r="A129" s="136"/>
      <c r="B129" s="137"/>
      <c r="C129" s="400"/>
      <c r="D129" s="139"/>
      <c r="E129" s="391" t="s">
        <v>609</v>
      </c>
      <c r="F129" s="85">
        <v>10.0</v>
      </c>
      <c r="G129" s="85">
        <v>31.0</v>
      </c>
      <c r="H129" s="85" t="s">
        <v>898</v>
      </c>
      <c r="I129" s="89" t="s">
        <v>66</v>
      </c>
      <c r="J129" s="126" t="s">
        <v>53</v>
      </c>
      <c r="K129" s="89" t="s">
        <v>157</v>
      </c>
      <c r="L129" s="85"/>
      <c r="M129" s="91">
        <v>5.611650162E9</v>
      </c>
      <c r="N129" s="390"/>
      <c r="O129" s="390"/>
      <c r="P129" s="390" t="s">
        <v>195</v>
      </c>
      <c r="Q129" s="390" t="s">
        <v>70</v>
      </c>
      <c r="R129" s="95">
        <v>0.12</v>
      </c>
      <c r="S129" s="399" t="s">
        <v>898</v>
      </c>
      <c r="T129" s="160" t="s">
        <v>769</v>
      </c>
      <c r="U129" s="160" t="s">
        <v>199</v>
      </c>
      <c r="V129" s="148" t="s">
        <v>167</v>
      </c>
      <c r="W129" s="45"/>
      <c r="X129" s="45"/>
      <c r="Y129" s="45"/>
      <c r="Z129" s="45"/>
      <c r="AA129" s="45"/>
      <c r="AB129" s="45"/>
    </row>
    <row r="130" hidden="1">
      <c r="A130" s="45"/>
      <c r="B130" s="401"/>
      <c r="C130" s="402"/>
      <c r="D130" s="402"/>
      <c r="E130" s="402"/>
      <c r="F130" s="402"/>
      <c r="G130" s="402"/>
      <c r="H130" s="402"/>
      <c r="I130" s="402"/>
      <c r="J130" s="402"/>
      <c r="K130" s="402"/>
      <c r="L130" s="402"/>
      <c r="M130" s="402"/>
      <c r="N130" s="402"/>
      <c r="O130" s="402"/>
      <c r="P130" s="402"/>
      <c r="Q130" s="402"/>
      <c r="R130" s="402"/>
      <c r="S130" s="402"/>
      <c r="T130" s="402"/>
      <c r="U130" s="402"/>
      <c r="V130" s="403" t="s">
        <v>748</v>
      </c>
      <c r="W130" s="402"/>
      <c r="X130" s="402"/>
      <c r="Y130" s="45"/>
      <c r="Z130" s="45"/>
      <c r="AA130" s="45"/>
      <c r="AB130" s="45"/>
    </row>
    <row r="131" hidden="1">
      <c r="A131" s="45"/>
      <c r="B131" s="401"/>
      <c r="C131" s="402"/>
      <c r="D131" s="402"/>
      <c r="E131" s="402"/>
      <c r="F131" s="402"/>
      <c r="G131" s="402"/>
      <c r="H131" s="402"/>
      <c r="I131" s="402"/>
      <c r="J131" s="402"/>
      <c r="K131" s="402"/>
      <c r="L131" s="402"/>
      <c r="M131" s="402"/>
      <c r="N131" s="402"/>
      <c r="O131" s="402"/>
      <c r="P131" s="402"/>
      <c r="Q131" s="402"/>
      <c r="R131" s="402"/>
      <c r="S131" s="402"/>
      <c r="T131" s="402"/>
      <c r="U131" s="402"/>
      <c r="V131" s="403" t="s">
        <v>748</v>
      </c>
      <c r="W131" s="402"/>
      <c r="X131" s="402"/>
      <c r="Y131" s="45"/>
      <c r="Z131" s="45"/>
      <c r="AA131" s="45"/>
      <c r="AB131" s="45"/>
    </row>
    <row r="132">
      <c r="A132" s="404"/>
      <c r="B132" s="405"/>
      <c r="C132" s="406" t="s">
        <v>906</v>
      </c>
    </row>
    <row r="133">
      <c r="A133" s="407"/>
      <c r="B133" s="407"/>
      <c r="C133" s="407"/>
      <c r="D133" s="408" t="s">
        <v>5</v>
      </c>
      <c r="E133" s="409" t="s">
        <v>908</v>
      </c>
      <c r="F133" s="410"/>
      <c r="G133" s="410"/>
      <c r="H133" s="408" t="s">
        <v>39</v>
      </c>
      <c r="I133" s="411" t="s">
        <v>911</v>
      </c>
      <c r="J133" s="411" t="s">
        <v>913</v>
      </c>
      <c r="K133" s="411" t="s">
        <v>914</v>
      </c>
      <c r="L133" s="411" t="s">
        <v>915</v>
      </c>
      <c r="M133" s="411" t="s">
        <v>916</v>
      </c>
      <c r="N133" s="61"/>
      <c r="O133" s="61"/>
      <c r="P133" s="63" t="s">
        <v>45</v>
      </c>
      <c r="Q133" s="51"/>
      <c r="R133" s="65"/>
      <c r="S133" s="412" t="s">
        <v>46</v>
      </c>
      <c r="T133" s="61" t="s">
        <v>47</v>
      </c>
      <c r="U133" s="67"/>
      <c r="X133" s="37"/>
      <c r="Y133" s="37"/>
      <c r="Z133" s="37"/>
      <c r="AA133" s="37"/>
      <c r="AB133" s="37"/>
    </row>
    <row r="134">
      <c r="A134" s="407"/>
      <c r="B134" s="407"/>
      <c r="C134" s="407"/>
      <c r="D134" s="65"/>
      <c r="E134" s="51"/>
      <c r="F134" s="51"/>
      <c r="G134" s="51"/>
      <c r="H134" s="65"/>
      <c r="I134" s="69"/>
      <c r="J134" s="69"/>
      <c r="K134" s="69"/>
      <c r="L134" s="69"/>
      <c r="M134" s="69"/>
      <c r="N134" s="72"/>
      <c r="O134" s="72"/>
      <c r="P134" s="72" t="s">
        <v>919</v>
      </c>
      <c r="Q134" s="413" t="s">
        <v>921</v>
      </c>
      <c r="R134" s="413" t="s">
        <v>56</v>
      </c>
      <c r="S134" s="69"/>
      <c r="T134" s="74"/>
      <c r="U134" s="75"/>
      <c r="X134" s="37"/>
      <c r="Y134" s="37"/>
      <c r="Z134" s="37"/>
      <c r="AA134" s="37"/>
      <c r="AB134" s="37"/>
    </row>
    <row r="135" hidden="1">
      <c r="A135" s="414"/>
      <c r="B135" s="414"/>
      <c r="C135" s="414"/>
      <c r="D135" s="415">
        <v>11.0</v>
      </c>
      <c r="E135" s="416" t="s">
        <v>923</v>
      </c>
      <c r="F135" s="416">
        <v>74.0</v>
      </c>
      <c r="G135" s="416" t="str">
        <f>E135&amp;F135</f>
        <v>D574</v>
      </c>
      <c r="H135" s="417" t="str">
        <f>G135</f>
        <v>D574</v>
      </c>
      <c r="I135" s="416" t="s">
        <v>926</v>
      </c>
      <c r="J135" s="416">
        <v>112.5</v>
      </c>
      <c r="K135" s="416">
        <v>97.5</v>
      </c>
      <c r="L135" s="416">
        <v>278.0</v>
      </c>
      <c r="M135" s="416">
        <v>15.1</v>
      </c>
      <c r="N135" s="418"/>
      <c r="O135" s="418"/>
      <c r="P135" s="418" t="s">
        <v>70</v>
      </c>
      <c r="Q135" s="418" t="s">
        <v>195</v>
      </c>
      <c r="R135" s="419">
        <v>0.13</v>
      </c>
      <c r="S135" s="420" t="s">
        <v>929</v>
      </c>
      <c r="T135" s="421" t="s">
        <v>108</v>
      </c>
      <c r="U135" s="422"/>
    </row>
    <row r="136" hidden="1">
      <c r="A136" s="414"/>
      <c r="B136" s="414"/>
      <c r="C136" s="414"/>
      <c r="D136" s="423">
        <v>1.0</v>
      </c>
      <c r="E136" s="416" t="s">
        <v>933</v>
      </c>
      <c r="F136" s="416">
        <v>52.0</v>
      </c>
      <c r="G136" s="416" t="s">
        <v>934</v>
      </c>
      <c r="H136" s="417" t="s">
        <v>934</v>
      </c>
      <c r="I136" s="416" t="s">
        <v>936</v>
      </c>
      <c r="J136" s="416">
        <v>180.0</v>
      </c>
      <c r="K136" s="416">
        <v>105.7</v>
      </c>
      <c r="L136" s="416">
        <v>304.1</v>
      </c>
      <c r="M136" s="424">
        <v>19.73</v>
      </c>
      <c r="N136" s="418"/>
      <c r="O136" s="418"/>
      <c r="P136" s="418" t="s">
        <v>195</v>
      </c>
      <c r="Q136" s="418" t="s">
        <v>195</v>
      </c>
      <c r="R136" s="419">
        <v>0.13</v>
      </c>
      <c r="S136" s="425" t="s">
        <v>934</v>
      </c>
      <c r="T136" s="426" t="s">
        <v>73</v>
      </c>
      <c r="U136" s="427"/>
    </row>
    <row r="137" hidden="1">
      <c r="A137" s="414"/>
      <c r="B137" s="414"/>
      <c r="C137" s="414"/>
      <c r="D137" s="423">
        <v>2.0</v>
      </c>
      <c r="E137" s="416" t="s">
        <v>933</v>
      </c>
      <c r="F137" s="416">
        <v>33.0</v>
      </c>
      <c r="G137" s="416" t="s">
        <v>940</v>
      </c>
      <c r="H137" s="417" t="s">
        <v>940</v>
      </c>
      <c r="I137" s="416" t="s">
        <v>926</v>
      </c>
      <c r="J137" s="416">
        <v>112.5</v>
      </c>
      <c r="K137" s="416">
        <v>93.8</v>
      </c>
      <c r="L137" s="416">
        <v>279.8</v>
      </c>
      <c r="M137" s="424">
        <v>15.18</v>
      </c>
      <c r="N137" s="418"/>
      <c r="O137" s="418"/>
      <c r="P137" s="418" t="s">
        <v>195</v>
      </c>
      <c r="Q137" s="418" t="s">
        <v>195</v>
      </c>
      <c r="R137" s="419">
        <v>0.13</v>
      </c>
      <c r="S137" s="420" t="s">
        <v>940</v>
      </c>
      <c r="T137" s="426" t="s">
        <v>95</v>
      </c>
      <c r="U137" s="427"/>
    </row>
    <row r="138" hidden="1">
      <c r="A138" s="414"/>
      <c r="B138" s="414"/>
      <c r="C138" s="414"/>
      <c r="D138" s="423">
        <v>3.0</v>
      </c>
      <c r="E138" s="416" t="s">
        <v>933</v>
      </c>
      <c r="F138" s="416">
        <v>43.0</v>
      </c>
      <c r="G138" s="416" t="s">
        <v>943</v>
      </c>
      <c r="H138" s="417" t="s">
        <v>943</v>
      </c>
      <c r="I138" s="416" t="s">
        <v>926</v>
      </c>
      <c r="J138" s="416">
        <v>112.5</v>
      </c>
      <c r="K138" s="416">
        <v>97.5</v>
      </c>
      <c r="L138" s="416">
        <v>278.0</v>
      </c>
      <c r="M138" s="428">
        <v>15.52</v>
      </c>
      <c r="N138" s="418"/>
      <c r="O138" s="418"/>
      <c r="P138" s="418" t="s">
        <v>70</v>
      </c>
      <c r="Q138" s="418" t="s">
        <v>195</v>
      </c>
      <c r="R138" s="419">
        <v>0.13</v>
      </c>
      <c r="S138" s="425" t="s">
        <v>943</v>
      </c>
      <c r="T138" s="421" t="s">
        <v>95</v>
      </c>
      <c r="U138" s="422"/>
    </row>
    <row r="139">
      <c r="A139" s="414"/>
      <c r="B139" s="414"/>
      <c r="C139" s="414"/>
      <c r="D139" s="429">
        <v>4.0</v>
      </c>
      <c r="E139" s="96" t="s">
        <v>947</v>
      </c>
      <c r="F139" s="96">
        <v>34.0</v>
      </c>
      <c r="G139" s="96" t="s">
        <v>948</v>
      </c>
      <c r="H139" s="430" t="s">
        <v>948</v>
      </c>
      <c r="I139" s="96" t="s">
        <v>926</v>
      </c>
      <c r="J139" s="96">
        <v>112.5</v>
      </c>
      <c r="K139" s="96">
        <v>97.5</v>
      </c>
      <c r="L139" s="96">
        <v>278.0</v>
      </c>
      <c r="M139" s="431">
        <v>14.81</v>
      </c>
      <c r="N139" s="432"/>
      <c r="O139" s="432"/>
      <c r="P139" s="432"/>
      <c r="Q139" s="432"/>
      <c r="R139" s="433"/>
      <c r="S139" s="434" t="s">
        <v>948</v>
      </c>
      <c r="T139" s="37"/>
      <c r="U139" s="37"/>
      <c r="V139" s="148" t="s">
        <v>167</v>
      </c>
    </row>
    <row r="140" hidden="1">
      <c r="A140" s="414"/>
      <c r="B140" s="414"/>
      <c r="C140" s="414"/>
      <c r="D140" s="423">
        <v>5.0</v>
      </c>
      <c r="E140" s="416" t="s">
        <v>947</v>
      </c>
      <c r="F140" s="416">
        <v>39.0</v>
      </c>
      <c r="G140" s="416" t="s">
        <v>953</v>
      </c>
      <c r="H140" s="417" t="s">
        <v>953</v>
      </c>
      <c r="I140" s="416" t="s">
        <v>926</v>
      </c>
      <c r="J140" s="416">
        <v>112.5</v>
      </c>
      <c r="K140" s="416">
        <v>97.5</v>
      </c>
      <c r="L140" s="416">
        <v>282.5</v>
      </c>
      <c r="M140" s="424">
        <v>14.53</v>
      </c>
      <c r="N140" s="418"/>
      <c r="O140" s="418"/>
      <c r="P140" s="418" t="s">
        <v>70</v>
      </c>
      <c r="Q140" s="418" t="s">
        <v>195</v>
      </c>
      <c r="R140" s="419">
        <v>0.13</v>
      </c>
      <c r="S140" s="425" t="s">
        <v>953</v>
      </c>
      <c r="T140" s="421" t="s">
        <v>95</v>
      </c>
      <c r="U140" s="422"/>
    </row>
    <row r="141" hidden="1">
      <c r="A141" s="414"/>
      <c r="B141" s="414"/>
      <c r="C141" s="414"/>
      <c r="D141" s="423">
        <v>6.0</v>
      </c>
      <c r="E141" s="416" t="s">
        <v>956</v>
      </c>
      <c r="F141" s="416">
        <v>71.0</v>
      </c>
      <c r="G141" s="416" t="s">
        <v>958</v>
      </c>
      <c r="H141" s="417" t="s">
        <v>958</v>
      </c>
      <c r="I141" s="416" t="s">
        <v>926</v>
      </c>
      <c r="J141" s="416">
        <v>127.1</v>
      </c>
      <c r="K141" s="416">
        <v>104.8</v>
      </c>
      <c r="L141" s="416">
        <v>290.3</v>
      </c>
      <c r="M141" s="424">
        <v>18.05</v>
      </c>
      <c r="N141" s="418"/>
      <c r="O141" s="418"/>
      <c r="P141" s="418" t="s">
        <v>70</v>
      </c>
      <c r="Q141" s="418" t="s">
        <v>195</v>
      </c>
      <c r="R141" s="419">
        <v>0.13</v>
      </c>
      <c r="S141" s="420" t="s">
        <v>958</v>
      </c>
      <c r="T141" s="421" t="s">
        <v>769</v>
      </c>
      <c r="U141" s="422"/>
    </row>
    <row r="142" hidden="1">
      <c r="A142" s="414"/>
      <c r="B142" s="414"/>
      <c r="C142" s="414"/>
      <c r="D142" s="423">
        <v>7.0</v>
      </c>
      <c r="E142" s="416" t="s">
        <v>961</v>
      </c>
      <c r="F142" s="416">
        <v>38.0</v>
      </c>
      <c r="G142" s="416" t="s">
        <v>962</v>
      </c>
      <c r="H142" s="417" t="s">
        <v>962</v>
      </c>
      <c r="I142" s="416" t="s">
        <v>926</v>
      </c>
      <c r="J142" s="416">
        <v>112.5</v>
      </c>
      <c r="K142" s="416">
        <v>96.1</v>
      </c>
      <c r="L142" s="416">
        <v>277.3</v>
      </c>
      <c r="M142" s="416">
        <v>15.51</v>
      </c>
      <c r="N142" s="418"/>
      <c r="O142" s="418"/>
      <c r="P142" s="418" t="s">
        <v>70</v>
      </c>
      <c r="Q142" s="418" t="s">
        <v>195</v>
      </c>
      <c r="R142" s="419">
        <v>0.13</v>
      </c>
      <c r="S142" s="420" t="s">
        <v>962</v>
      </c>
      <c r="T142" s="421" t="s">
        <v>769</v>
      </c>
      <c r="U142" s="422"/>
    </row>
    <row r="143" hidden="1">
      <c r="A143" s="414"/>
      <c r="B143" s="414"/>
      <c r="C143" s="414"/>
      <c r="D143" s="423">
        <v>8.0</v>
      </c>
      <c r="E143" s="416" t="s">
        <v>966</v>
      </c>
      <c r="F143" s="416">
        <v>15.0</v>
      </c>
      <c r="G143" s="416" t="s">
        <v>967</v>
      </c>
      <c r="H143" s="417" t="s">
        <v>967</v>
      </c>
      <c r="I143" s="416" t="s">
        <v>936</v>
      </c>
      <c r="J143" s="416">
        <v>200.0</v>
      </c>
      <c r="K143" s="416">
        <v>113.7</v>
      </c>
      <c r="L143" s="416">
        <v>332.8</v>
      </c>
      <c r="M143" s="416">
        <v>21.18</v>
      </c>
      <c r="N143" s="418"/>
      <c r="O143" s="418"/>
      <c r="P143" s="418" t="s">
        <v>70</v>
      </c>
      <c r="Q143" s="418" t="s">
        <v>195</v>
      </c>
      <c r="R143" s="419">
        <v>0.13</v>
      </c>
      <c r="S143" s="420" t="s">
        <v>967</v>
      </c>
      <c r="T143" s="421" t="s">
        <v>769</v>
      </c>
      <c r="U143" s="422"/>
    </row>
    <row r="144" hidden="1">
      <c r="A144" s="414"/>
      <c r="B144" s="414"/>
      <c r="C144" s="414"/>
      <c r="D144" s="423">
        <v>9.0</v>
      </c>
      <c r="E144" s="416" t="s">
        <v>970</v>
      </c>
      <c r="F144" s="416">
        <v>12.0</v>
      </c>
      <c r="G144" s="416" t="s">
        <v>972</v>
      </c>
      <c r="H144" s="417" t="s">
        <v>972</v>
      </c>
      <c r="I144" s="416" t="s">
        <v>936</v>
      </c>
      <c r="J144" s="416">
        <v>200.0</v>
      </c>
      <c r="K144" s="416">
        <v>113.7</v>
      </c>
      <c r="L144" s="416">
        <v>331.4</v>
      </c>
      <c r="M144" s="416">
        <v>21.99</v>
      </c>
      <c r="N144" s="418"/>
      <c r="O144" s="418"/>
      <c r="P144" s="418" t="s">
        <v>70</v>
      </c>
      <c r="Q144" s="418" t="s">
        <v>195</v>
      </c>
      <c r="R144" s="419">
        <v>0.13</v>
      </c>
      <c r="S144" s="420" t="s">
        <v>972</v>
      </c>
      <c r="T144" s="421" t="s">
        <v>108</v>
      </c>
      <c r="U144" s="422"/>
    </row>
    <row r="145" hidden="1">
      <c r="A145" s="414"/>
      <c r="B145" s="414"/>
      <c r="C145" s="414"/>
      <c r="D145" s="435">
        <v>10.0</v>
      </c>
      <c r="E145" s="436" t="s">
        <v>974</v>
      </c>
      <c r="F145" s="437">
        <v>18.0</v>
      </c>
      <c r="G145" s="437" t="s">
        <v>976</v>
      </c>
      <c r="H145" s="438" t="s">
        <v>976</v>
      </c>
      <c r="I145" s="437" t="s">
        <v>978</v>
      </c>
      <c r="J145" s="437">
        <v>171.2</v>
      </c>
      <c r="K145" s="437">
        <v>106.6</v>
      </c>
      <c r="L145" s="437">
        <v>309.0</v>
      </c>
      <c r="M145" s="437">
        <v>18.59</v>
      </c>
      <c r="N145" s="439"/>
      <c r="O145" s="439"/>
      <c r="P145" s="439"/>
      <c r="Q145" s="439"/>
      <c r="R145" s="433">
        <v>0.13</v>
      </c>
      <c r="S145" s="440"/>
      <c r="T145" s="58" t="s">
        <v>769</v>
      </c>
      <c r="U145" s="58"/>
    </row>
    <row r="146">
      <c r="A146" s="45"/>
      <c r="B146" s="401"/>
      <c r="C146" s="45"/>
      <c r="D146" s="3"/>
      <c r="E146" s="3"/>
      <c r="F146" s="441"/>
      <c r="I146" s="3"/>
      <c r="J146" s="3"/>
      <c r="K146" s="3"/>
      <c r="L146" s="3"/>
      <c r="M146" s="3"/>
      <c r="N146" s="3"/>
      <c r="O146" s="3"/>
      <c r="P146" s="3"/>
      <c r="Q146" s="3"/>
      <c r="R146" s="442"/>
      <c r="S146" s="160"/>
      <c r="T146" s="443"/>
      <c r="U146" s="443"/>
    </row>
    <row r="147">
      <c r="B147" s="444"/>
      <c r="R147" s="442"/>
      <c r="S147" s="442"/>
      <c r="T147" s="442"/>
      <c r="U147" s="442"/>
    </row>
    <row r="148">
      <c r="B148" s="444"/>
      <c r="I148" s="445"/>
      <c r="R148" s="442"/>
      <c r="S148" s="442"/>
      <c r="T148" s="446"/>
      <c r="U148" s="446"/>
    </row>
    <row r="149">
      <c r="B149" s="444"/>
      <c r="F149" s="37"/>
      <c r="G149" s="37"/>
      <c r="H149" s="37"/>
      <c r="I149" s="447"/>
      <c r="R149" s="448"/>
      <c r="S149" s="448"/>
      <c r="T149" s="448"/>
      <c r="U149" s="448"/>
    </row>
    <row r="150">
      <c r="B150" s="444"/>
      <c r="F150" s="37"/>
      <c r="G150" s="37"/>
      <c r="H150" s="37"/>
      <c r="I150" s="447"/>
      <c r="R150" s="448"/>
      <c r="S150" s="448"/>
      <c r="T150" s="448"/>
      <c r="U150" s="448"/>
    </row>
    <row r="151">
      <c r="B151" s="444"/>
      <c r="F151" s="37"/>
      <c r="G151" s="37"/>
      <c r="H151" s="37"/>
      <c r="I151" s="447"/>
      <c r="R151" s="448"/>
      <c r="S151" s="448"/>
      <c r="T151" s="448"/>
      <c r="U151" s="448"/>
    </row>
    <row r="152">
      <c r="B152" s="444"/>
      <c r="F152" s="37"/>
      <c r="G152" s="37"/>
      <c r="H152" s="37"/>
      <c r="R152" s="448"/>
      <c r="S152" s="448"/>
      <c r="T152" s="448"/>
      <c r="U152" s="448"/>
    </row>
    <row r="153">
      <c r="B153" s="444"/>
      <c r="F153" s="37"/>
      <c r="G153" s="37"/>
      <c r="H153" s="37"/>
      <c r="R153" s="442"/>
      <c r="S153" s="442"/>
      <c r="T153" s="442"/>
      <c r="U153" s="442"/>
    </row>
    <row r="154">
      <c r="B154" s="444"/>
      <c r="F154" s="37"/>
      <c r="G154" s="37"/>
      <c r="H154" s="37"/>
      <c r="R154" s="442"/>
      <c r="S154" s="442"/>
      <c r="T154" s="443"/>
      <c r="U154" s="443"/>
    </row>
    <row r="155">
      <c r="B155" s="444"/>
      <c r="F155" s="37"/>
      <c r="G155" s="37"/>
      <c r="H155" s="58"/>
      <c r="R155" s="442"/>
      <c r="S155" s="442"/>
      <c r="T155" s="446"/>
      <c r="U155" s="446"/>
    </row>
    <row r="156">
      <c r="B156" s="444"/>
      <c r="F156" s="37"/>
      <c r="G156" s="37"/>
      <c r="H156" s="58"/>
      <c r="R156" s="45"/>
      <c r="S156" s="45"/>
      <c r="T156" s="45"/>
      <c r="U156" s="45"/>
    </row>
    <row r="157">
      <c r="B157" s="444"/>
      <c r="F157" s="37"/>
      <c r="G157" s="37"/>
      <c r="H157" s="58"/>
      <c r="R157" s="45"/>
      <c r="S157" s="45"/>
      <c r="T157" s="45"/>
      <c r="U157" s="45"/>
    </row>
    <row r="158">
      <c r="B158" s="444"/>
      <c r="F158" s="37"/>
      <c r="G158" s="37"/>
      <c r="H158" s="58"/>
      <c r="R158" s="45"/>
      <c r="S158" s="45"/>
      <c r="T158" s="45"/>
      <c r="U158" s="45"/>
    </row>
    <row r="159">
      <c r="B159" s="444"/>
      <c r="F159" s="37"/>
      <c r="G159" s="37"/>
      <c r="H159" s="37"/>
      <c r="R159" s="45"/>
      <c r="S159" s="45"/>
      <c r="T159" s="45"/>
      <c r="U159" s="45"/>
    </row>
    <row r="160">
      <c r="B160" s="444"/>
      <c r="F160" s="37"/>
      <c r="G160" s="37"/>
      <c r="H160" s="37"/>
      <c r="R160" s="45"/>
      <c r="S160" s="45"/>
      <c r="T160" s="45"/>
      <c r="U160" s="45"/>
    </row>
    <row r="161">
      <c r="B161" s="444"/>
      <c r="F161" s="37"/>
      <c r="G161" s="37"/>
      <c r="H161" s="37"/>
      <c r="R161" s="45"/>
      <c r="S161" s="45"/>
      <c r="T161" s="45"/>
      <c r="U161" s="45"/>
    </row>
    <row r="162">
      <c r="B162" s="444"/>
      <c r="F162" s="37"/>
      <c r="G162" s="37"/>
      <c r="H162" s="37"/>
      <c r="R162" s="45"/>
      <c r="S162" s="45"/>
      <c r="T162" s="45"/>
      <c r="U162" s="45"/>
    </row>
    <row r="163">
      <c r="B163" s="444"/>
      <c r="F163" s="37"/>
      <c r="G163" s="37"/>
      <c r="H163" s="37"/>
    </row>
    <row r="164">
      <c r="B164" s="444"/>
      <c r="F164" s="37"/>
      <c r="G164" s="37"/>
      <c r="H164" s="37"/>
    </row>
    <row r="165">
      <c r="B165" s="444"/>
      <c r="F165" s="37"/>
      <c r="G165" s="37"/>
      <c r="H165" s="37"/>
    </row>
    <row r="166">
      <c r="B166" s="444"/>
      <c r="F166" s="37"/>
      <c r="G166" s="37"/>
      <c r="H166" s="37"/>
    </row>
    <row r="167">
      <c r="B167" s="444"/>
      <c r="F167" s="37"/>
      <c r="G167" s="37"/>
      <c r="H167" s="37"/>
    </row>
    <row r="168">
      <c r="B168" s="444"/>
      <c r="F168" s="37"/>
      <c r="G168" s="37"/>
      <c r="H168" s="37"/>
    </row>
    <row r="169">
      <c r="B169" s="444"/>
      <c r="F169" s="37"/>
      <c r="G169" s="37"/>
      <c r="H169" s="37"/>
    </row>
    <row r="170">
      <c r="B170" s="444"/>
      <c r="F170" s="37"/>
      <c r="G170" s="37"/>
      <c r="H170" s="37"/>
    </row>
    <row r="171">
      <c r="B171" s="444"/>
      <c r="F171" s="37"/>
      <c r="G171" s="37"/>
      <c r="H171" s="37"/>
    </row>
    <row r="172">
      <c r="B172" s="444"/>
      <c r="F172" s="37"/>
      <c r="G172" s="37"/>
      <c r="H172" s="37"/>
    </row>
    <row r="173">
      <c r="B173" s="444"/>
      <c r="F173" s="37"/>
      <c r="G173" s="37"/>
      <c r="H173" s="37"/>
    </row>
    <row r="174">
      <c r="B174" s="444"/>
      <c r="F174" s="37"/>
      <c r="G174" s="37"/>
      <c r="H174" s="37"/>
    </row>
    <row r="175">
      <c r="B175" s="444"/>
      <c r="F175" s="37"/>
      <c r="G175" s="37"/>
      <c r="H175" s="37"/>
    </row>
    <row r="176">
      <c r="B176" s="444"/>
      <c r="F176" s="37"/>
      <c r="G176" s="37"/>
      <c r="H176" s="37"/>
    </row>
    <row r="177">
      <c r="B177" s="444"/>
      <c r="F177" s="37"/>
      <c r="G177" s="37"/>
      <c r="H177" s="37"/>
    </row>
    <row r="178">
      <c r="B178" s="444"/>
      <c r="F178" s="37"/>
      <c r="G178" s="37"/>
      <c r="H178" s="37"/>
    </row>
    <row r="179">
      <c r="B179" s="444"/>
      <c r="F179" s="37"/>
      <c r="G179" s="37"/>
      <c r="H179" s="37"/>
    </row>
    <row r="180">
      <c r="B180" s="444"/>
      <c r="F180" s="37"/>
      <c r="G180" s="37"/>
      <c r="H180" s="37"/>
    </row>
    <row r="181">
      <c r="B181" s="444"/>
      <c r="F181" s="37"/>
      <c r="G181" s="37"/>
      <c r="H181" s="37"/>
    </row>
    <row r="182">
      <c r="B182" s="444"/>
      <c r="F182" s="37"/>
      <c r="G182" s="37"/>
      <c r="H182" s="37"/>
    </row>
    <row r="183">
      <c r="B183" s="444"/>
      <c r="F183" s="37"/>
      <c r="G183" s="37"/>
      <c r="H183" s="37"/>
    </row>
    <row r="184">
      <c r="B184" s="444"/>
      <c r="F184" s="37"/>
      <c r="G184" s="37"/>
      <c r="H184" s="37"/>
    </row>
    <row r="185">
      <c r="B185" s="444"/>
      <c r="F185" s="37"/>
      <c r="G185" s="37"/>
      <c r="H185" s="37"/>
    </row>
    <row r="186">
      <c r="B186" s="444"/>
      <c r="F186" s="37"/>
      <c r="G186" s="37"/>
      <c r="H186" s="37"/>
    </row>
    <row r="187">
      <c r="B187" s="444"/>
      <c r="F187" s="37"/>
      <c r="G187" s="37"/>
      <c r="H187" s="37"/>
    </row>
    <row r="188">
      <c r="B188" s="444"/>
      <c r="F188" s="37"/>
      <c r="G188" s="37"/>
      <c r="H188" s="37"/>
    </row>
    <row r="189">
      <c r="B189" s="444"/>
      <c r="F189" s="37"/>
      <c r="G189" s="37"/>
      <c r="H189" s="37"/>
    </row>
    <row r="190">
      <c r="B190" s="444"/>
      <c r="F190" s="37"/>
      <c r="G190" s="37"/>
      <c r="H190" s="37"/>
    </row>
    <row r="191">
      <c r="B191" s="444"/>
      <c r="F191" s="37"/>
      <c r="G191" s="37"/>
      <c r="H191" s="37"/>
    </row>
    <row r="192">
      <c r="B192" s="444"/>
      <c r="F192" s="37"/>
      <c r="G192" s="37"/>
      <c r="H192" s="37"/>
    </row>
    <row r="193">
      <c r="B193" s="444"/>
      <c r="F193" s="37"/>
      <c r="G193" s="37"/>
      <c r="H193" s="37"/>
    </row>
    <row r="194">
      <c r="B194" s="444"/>
      <c r="F194" s="37"/>
      <c r="G194" s="37"/>
      <c r="H194" s="37"/>
    </row>
    <row r="195">
      <c r="B195" s="444"/>
      <c r="F195" s="37"/>
      <c r="G195" s="37"/>
      <c r="H195" s="37"/>
    </row>
    <row r="196">
      <c r="B196" s="444"/>
      <c r="F196" s="37"/>
      <c r="G196" s="37"/>
      <c r="H196" s="37"/>
    </row>
    <row r="197">
      <c r="B197" s="444"/>
      <c r="F197" s="37"/>
      <c r="G197" s="37"/>
      <c r="H197" s="37"/>
    </row>
    <row r="198">
      <c r="B198" s="444"/>
      <c r="F198" s="37"/>
      <c r="G198" s="37"/>
      <c r="H198" s="37"/>
    </row>
    <row r="199">
      <c r="B199" s="444"/>
      <c r="F199" s="37"/>
      <c r="G199" s="37"/>
      <c r="H199" s="37"/>
    </row>
    <row r="200">
      <c r="B200" s="444"/>
      <c r="F200" s="37"/>
      <c r="G200" s="37"/>
      <c r="H200" s="37"/>
    </row>
    <row r="201">
      <c r="B201" s="444"/>
      <c r="F201" s="37"/>
      <c r="G201" s="37"/>
      <c r="H201" s="37"/>
    </row>
    <row r="202">
      <c r="B202" s="444"/>
      <c r="F202" s="37"/>
      <c r="G202" s="37"/>
      <c r="H202" s="37"/>
    </row>
    <row r="203">
      <c r="B203" s="444"/>
      <c r="F203" s="37"/>
      <c r="G203" s="37"/>
      <c r="H203" s="37"/>
    </row>
    <row r="204">
      <c r="B204" s="444"/>
      <c r="F204" s="37"/>
      <c r="G204" s="37"/>
      <c r="H204" s="37"/>
    </row>
    <row r="205">
      <c r="B205" s="444"/>
      <c r="F205" s="37"/>
      <c r="G205" s="37"/>
      <c r="H205" s="37"/>
    </row>
    <row r="206">
      <c r="B206" s="444"/>
      <c r="F206" s="37"/>
      <c r="G206" s="37"/>
      <c r="H206" s="37"/>
    </row>
    <row r="207">
      <c r="B207" s="444"/>
      <c r="F207" s="37"/>
      <c r="G207" s="37"/>
      <c r="H207" s="37"/>
    </row>
    <row r="208">
      <c r="B208" s="444"/>
      <c r="F208" s="37"/>
      <c r="G208" s="37"/>
      <c r="H208" s="37"/>
    </row>
    <row r="209">
      <c r="B209" s="444"/>
      <c r="F209" s="37"/>
      <c r="G209" s="37"/>
      <c r="H209" s="37"/>
    </row>
    <row r="210">
      <c r="B210" s="444"/>
      <c r="F210" s="37"/>
      <c r="G210" s="37"/>
      <c r="H210" s="37"/>
    </row>
    <row r="211">
      <c r="B211" s="444"/>
      <c r="F211" s="37"/>
      <c r="G211" s="37"/>
      <c r="H211" s="37"/>
    </row>
    <row r="212">
      <c r="B212" s="444"/>
      <c r="F212" s="37"/>
      <c r="G212" s="37"/>
      <c r="H212" s="37"/>
    </row>
    <row r="213">
      <c r="B213" s="444"/>
      <c r="F213" s="37"/>
      <c r="G213" s="37"/>
      <c r="H213" s="37"/>
    </row>
    <row r="214">
      <c r="B214" s="444"/>
      <c r="F214" s="37"/>
      <c r="G214" s="37"/>
      <c r="H214" s="37"/>
    </row>
    <row r="215">
      <c r="B215" s="444"/>
      <c r="F215" s="37"/>
      <c r="G215" s="37"/>
      <c r="H215" s="37"/>
    </row>
    <row r="216">
      <c r="B216" s="444"/>
      <c r="F216" s="37"/>
      <c r="G216" s="37"/>
      <c r="H216" s="37"/>
    </row>
    <row r="217">
      <c r="B217" s="444"/>
      <c r="F217" s="37"/>
      <c r="G217" s="37"/>
      <c r="H217" s="37"/>
    </row>
    <row r="218">
      <c r="B218" s="444"/>
      <c r="F218" s="37"/>
      <c r="G218" s="37"/>
      <c r="H218" s="37"/>
    </row>
    <row r="219">
      <c r="B219" s="444"/>
      <c r="F219" s="37"/>
      <c r="G219" s="37"/>
      <c r="H219" s="37"/>
    </row>
    <row r="220">
      <c r="B220" s="444"/>
      <c r="F220" s="37"/>
      <c r="G220" s="37"/>
      <c r="H220" s="37"/>
    </row>
    <row r="221">
      <c r="B221" s="444"/>
      <c r="F221" s="37"/>
      <c r="G221" s="37"/>
      <c r="H221" s="37"/>
    </row>
    <row r="222">
      <c r="B222" s="444"/>
      <c r="F222" s="37"/>
      <c r="G222" s="37"/>
      <c r="H222" s="37"/>
    </row>
    <row r="223">
      <c r="B223" s="444"/>
      <c r="F223" s="37"/>
      <c r="G223" s="37"/>
      <c r="H223" s="37"/>
    </row>
    <row r="224">
      <c r="B224" s="444"/>
      <c r="F224" s="37"/>
      <c r="G224" s="37"/>
      <c r="H224" s="37"/>
    </row>
    <row r="225">
      <c r="B225" s="444"/>
      <c r="F225" s="37"/>
      <c r="G225" s="37"/>
      <c r="H225" s="37"/>
    </row>
    <row r="226">
      <c r="B226" s="444"/>
      <c r="F226" s="37"/>
      <c r="G226" s="37"/>
      <c r="H226" s="37"/>
    </row>
    <row r="227">
      <c r="B227" s="444"/>
      <c r="F227" s="37"/>
      <c r="G227" s="37"/>
      <c r="H227" s="37"/>
    </row>
    <row r="228">
      <c r="B228" s="444"/>
      <c r="F228" s="37"/>
      <c r="G228" s="37"/>
      <c r="H228" s="37"/>
    </row>
    <row r="229">
      <c r="B229" s="444"/>
      <c r="F229" s="37"/>
      <c r="G229" s="37"/>
      <c r="H229" s="37"/>
    </row>
    <row r="230">
      <c r="B230" s="444"/>
      <c r="F230" s="37"/>
      <c r="G230" s="37"/>
      <c r="H230" s="37"/>
    </row>
    <row r="231">
      <c r="B231" s="444"/>
      <c r="F231" s="37"/>
      <c r="G231" s="37"/>
      <c r="H231" s="37"/>
    </row>
    <row r="232">
      <c r="B232" s="444"/>
      <c r="F232" s="37"/>
      <c r="G232" s="37"/>
      <c r="H232" s="37"/>
    </row>
    <row r="233">
      <c r="B233" s="444"/>
      <c r="F233" s="37"/>
      <c r="G233" s="37"/>
      <c r="H233" s="37"/>
    </row>
    <row r="234">
      <c r="B234" s="444"/>
      <c r="F234" s="37"/>
      <c r="G234" s="37"/>
      <c r="H234" s="37"/>
    </row>
    <row r="235">
      <c r="B235" s="444"/>
      <c r="F235" s="37"/>
      <c r="G235" s="37"/>
      <c r="H235" s="37"/>
    </row>
    <row r="236">
      <c r="B236" s="444"/>
      <c r="F236" s="37"/>
      <c r="G236" s="37"/>
      <c r="H236" s="37"/>
    </row>
    <row r="237">
      <c r="B237" s="444"/>
      <c r="F237" s="37"/>
      <c r="G237" s="37"/>
      <c r="H237" s="37"/>
    </row>
    <row r="238">
      <c r="B238" s="444"/>
      <c r="F238" s="37"/>
      <c r="G238" s="37"/>
      <c r="H238" s="37"/>
    </row>
    <row r="239">
      <c r="B239" s="444"/>
      <c r="F239" s="37"/>
      <c r="G239" s="37"/>
      <c r="H239" s="37"/>
    </row>
    <row r="240">
      <c r="B240" s="444"/>
      <c r="F240" s="37"/>
      <c r="G240" s="37"/>
      <c r="H240" s="37"/>
    </row>
    <row r="241">
      <c r="B241" s="444"/>
      <c r="F241" s="37"/>
      <c r="G241" s="37"/>
      <c r="H241" s="37"/>
    </row>
    <row r="242">
      <c r="B242" s="444"/>
      <c r="F242" s="37"/>
      <c r="G242" s="37"/>
      <c r="H242" s="37"/>
    </row>
    <row r="243">
      <c r="B243" s="444"/>
      <c r="F243" s="37"/>
      <c r="G243" s="37"/>
      <c r="H243" s="37"/>
    </row>
    <row r="244">
      <c r="B244" s="444"/>
      <c r="F244" s="37"/>
      <c r="G244" s="37"/>
      <c r="H244" s="37"/>
    </row>
    <row r="245">
      <c r="B245" s="444"/>
      <c r="F245" s="37"/>
      <c r="G245" s="37"/>
      <c r="H245" s="37"/>
    </row>
    <row r="246">
      <c r="B246" s="444"/>
      <c r="F246" s="37"/>
      <c r="G246" s="37"/>
      <c r="H246" s="37"/>
    </row>
    <row r="247">
      <c r="B247" s="444"/>
      <c r="F247" s="37"/>
      <c r="G247" s="37"/>
      <c r="H247" s="37"/>
    </row>
    <row r="248">
      <c r="B248" s="444"/>
      <c r="F248" s="37"/>
      <c r="G248" s="37"/>
      <c r="H248" s="37"/>
    </row>
    <row r="249">
      <c r="B249" s="444"/>
      <c r="F249" s="37"/>
      <c r="G249" s="37"/>
      <c r="H249" s="37"/>
    </row>
    <row r="250">
      <c r="B250" s="444"/>
      <c r="F250" s="37"/>
      <c r="G250" s="37"/>
      <c r="H250" s="37"/>
    </row>
    <row r="251">
      <c r="B251" s="444"/>
      <c r="F251" s="37"/>
      <c r="G251" s="37"/>
      <c r="H251" s="37"/>
    </row>
    <row r="252">
      <c r="B252" s="444"/>
      <c r="F252" s="37"/>
      <c r="G252" s="37"/>
      <c r="H252" s="37"/>
    </row>
    <row r="253">
      <c r="B253" s="444"/>
      <c r="F253" s="37"/>
      <c r="G253" s="37"/>
      <c r="H253" s="37"/>
    </row>
    <row r="254">
      <c r="B254" s="444"/>
      <c r="F254" s="37"/>
      <c r="G254" s="37"/>
      <c r="H254" s="37"/>
    </row>
    <row r="255">
      <c r="B255" s="444"/>
      <c r="F255" s="37"/>
      <c r="G255" s="37"/>
      <c r="H255" s="37"/>
    </row>
    <row r="256">
      <c r="B256" s="444"/>
      <c r="F256" s="37"/>
      <c r="G256" s="37"/>
      <c r="H256" s="37"/>
    </row>
    <row r="257">
      <c r="B257" s="444"/>
      <c r="F257" s="37"/>
      <c r="G257" s="37"/>
      <c r="H257" s="37"/>
    </row>
    <row r="258">
      <c r="B258" s="444"/>
      <c r="F258" s="37"/>
      <c r="G258" s="37"/>
      <c r="H258" s="37"/>
    </row>
    <row r="259">
      <c r="B259" s="444"/>
      <c r="F259" s="37"/>
      <c r="G259" s="37"/>
      <c r="H259" s="37"/>
    </row>
    <row r="260">
      <c r="B260" s="444"/>
      <c r="F260" s="37"/>
      <c r="G260" s="37"/>
      <c r="H260" s="37"/>
    </row>
    <row r="261">
      <c r="B261" s="444"/>
      <c r="F261" s="37"/>
      <c r="G261" s="37"/>
      <c r="H261" s="37"/>
    </row>
    <row r="262">
      <c r="B262" s="444"/>
      <c r="F262" s="37"/>
      <c r="G262" s="37"/>
      <c r="H262" s="37"/>
    </row>
    <row r="263">
      <c r="B263" s="444"/>
      <c r="F263" s="37"/>
      <c r="G263" s="37"/>
      <c r="H263" s="37"/>
    </row>
    <row r="264">
      <c r="B264" s="444"/>
      <c r="F264" s="37"/>
      <c r="G264" s="37"/>
      <c r="H264" s="37"/>
    </row>
    <row r="265">
      <c r="B265" s="444"/>
      <c r="F265" s="37"/>
      <c r="G265" s="37"/>
      <c r="H265" s="37"/>
    </row>
    <row r="266">
      <c r="B266" s="444"/>
      <c r="F266" s="37"/>
      <c r="G266" s="37"/>
      <c r="H266" s="37"/>
    </row>
    <row r="267">
      <c r="B267" s="444"/>
      <c r="F267" s="37"/>
      <c r="G267" s="37"/>
      <c r="H267" s="37"/>
    </row>
    <row r="268">
      <c r="B268" s="444"/>
      <c r="F268" s="37"/>
      <c r="G268" s="37"/>
      <c r="H268" s="37"/>
    </row>
    <row r="269">
      <c r="B269" s="444"/>
      <c r="F269" s="37"/>
      <c r="G269" s="37"/>
      <c r="H269" s="37"/>
    </row>
    <row r="270">
      <c r="B270" s="444"/>
      <c r="F270" s="37"/>
      <c r="G270" s="37"/>
      <c r="H270" s="37"/>
    </row>
    <row r="271">
      <c r="B271" s="444"/>
      <c r="F271" s="37"/>
      <c r="G271" s="37"/>
      <c r="H271" s="37"/>
    </row>
    <row r="272">
      <c r="B272" s="444"/>
      <c r="F272" s="37"/>
      <c r="G272" s="37"/>
      <c r="H272" s="37"/>
    </row>
    <row r="273">
      <c r="B273" s="444"/>
      <c r="F273" s="37"/>
      <c r="G273" s="37"/>
      <c r="H273" s="37"/>
    </row>
    <row r="274">
      <c r="B274" s="444"/>
      <c r="F274" s="37"/>
      <c r="G274" s="37"/>
      <c r="H274" s="37"/>
    </row>
    <row r="275">
      <c r="B275" s="444"/>
      <c r="F275" s="37"/>
      <c r="G275" s="37"/>
      <c r="H275" s="37"/>
    </row>
    <row r="276">
      <c r="B276" s="444"/>
      <c r="F276" s="37"/>
      <c r="G276" s="37"/>
      <c r="H276" s="37"/>
    </row>
    <row r="277">
      <c r="B277" s="444"/>
      <c r="F277" s="37"/>
      <c r="G277" s="37"/>
      <c r="H277" s="37"/>
    </row>
    <row r="278">
      <c r="B278" s="444"/>
      <c r="F278" s="37"/>
      <c r="G278" s="37"/>
      <c r="H278" s="37"/>
    </row>
    <row r="279">
      <c r="B279" s="444"/>
      <c r="F279" s="37"/>
      <c r="G279" s="37"/>
      <c r="H279" s="37"/>
    </row>
    <row r="280">
      <c r="B280" s="444"/>
      <c r="F280" s="37"/>
      <c r="G280" s="37"/>
      <c r="H280" s="37"/>
    </row>
    <row r="281">
      <c r="B281" s="444"/>
      <c r="F281" s="37"/>
      <c r="G281" s="37"/>
      <c r="H281" s="37"/>
    </row>
    <row r="282">
      <c r="B282" s="444"/>
      <c r="F282" s="37"/>
      <c r="G282" s="37"/>
      <c r="H282" s="37"/>
    </row>
    <row r="283">
      <c r="B283" s="444"/>
      <c r="F283" s="37"/>
      <c r="G283" s="37"/>
      <c r="H283" s="37"/>
    </row>
    <row r="284">
      <c r="B284" s="444"/>
      <c r="F284" s="37"/>
      <c r="G284" s="37"/>
      <c r="H284" s="37"/>
    </row>
    <row r="285">
      <c r="B285" s="444"/>
      <c r="F285" s="37"/>
      <c r="G285" s="37"/>
      <c r="H285" s="37"/>
    </row>
    <row r="286">
      <c r="B286" s="444"/>
      <c r="F286" s="37"/>
      <c r="G286" s="37"/>
      <c r="H286" s="37"/>
    </row>
    <row r="287">
      <c r="B287" s="444"/>
      <c r="F287" s="37"/>
      <c r="G287" s="37"/>
      <c r="H287" s="37"/>
    </row>
    <row r="288">
      <c r="B288" s="444"/>
      <c r="F288" s="37"/>
      <c r="G288" s="37"/>
      <c r="H288" s="37"/>
    </row>
    <row r="289">
      <c r="B289" s="444"/>
      <c r="F289" s="37"/>
      <c r="G289" s="37"/>
      <c r="H289" s="37"/>
    </row>
    <row r="290">
      <c r="B290" s="444"/>
      <c r="F290" s="37"/>
      <c r="G290" s="37"/>
      <c r="H290" s="37"/>
    </row>
    <row r="291">
      <c r="B291" s="444"/>
      <c r="F291" s="37"/>
      <c r="G291" s="37"/>
      <c r="H291" s="37"/>
    </row>
    <row r="292">
      <c r="B292" s="444"/>
      <c r="F292" s="37"/>
      <c r="G292" s="37"/>
      <c r="H292" s="37"/>
    </row>
    <row r="293">
      <c r="B293" s="444"/>
      <c r="F293" s="37"/>
      <c r="G293" s="37"/>
      <c r="H293" s="37"/>
    </row>
    <row r="294">
      <c r="B294" s="444"/>
      <c r="F294" s="37"/>
      <c r="G294" s="37"/>
      <c r="H294" s="37"/>
    </row>
    <row r="295">
      <c r="B295" s="444"/>
      <c r="F295" s="37"/>
      <c r="G295" s="37"/>
      <c r="H295" s="37"/>
    </row>
    <row r="296">
      <c r="B296" s="444"/>
      <c r="F296" s="37"/>
      <c r="G296" s="37"/>
      <c r="H296" s="37"/>
    </row>
    <row r="297">
      <c r="B297" s="444"/>
      <c r="F297" s="37"/>
      <c r="G297" s="37"/>
      <c r="H297" s="37"/>
    </row>
    <row r="298">
      <c r="B298" s="444"/>
      <c r="F298" s="37"/>
      <c r="G298" s="37"/>
      <c r="H298" s="37"/>
    </row>
    <row r="299">
      <c r="B299" s="444"/>
      <c r="F299" s="37"/>
      <c r="G299" s="37"/>
      <c r="H299" s="37"/>
    </row>
    <row r="300">
      <c r="B300" s="444"/>
      <c r="F300" s="37"/>
      <c r="G300" s="37"/>
      <c r="H300" s="37"/>
    </row>
    <row r="301">
      <c r="B301" s="444"/>
      <c r="F301" s="37"/>
      <c r="G301" s="37"/>
      <c r="H301" s="37"/>
    </row>
    <row r="302">
      <c r="B302" s="444"/>
      <c r="F302" s="37"/>
      <c r="G302" s="37"/>
      <c r="H302" s="37"/>
    </row>
    <row r="303">
      <c r="B303" s="444"/>
      <c r="F303" s="37"/>
      <c r="G303" s="37"/>
      <c r="H303" s="37"/>
    </row>
    <row r="304">
      <c r="B304" s="444"/>
      <c r="F304" s="37"/>
      <c r="G304" s="37"/>
      <c r="H304" s="37"/>
    </row>
    <row r="305">
      <c r="B305" s="444"/>
      <c r="F305" s="37"/>
      <c r="G305" s="37"/>
      <c r="H305" s="37"/>
    </row>
    <row r="306">
      <c r="B306" s="444"/>
      <c r="F306" s="37"/>
      <c r="G306" s="37"/>
      <c r="H306" s="37"/>
    </row>
    <row r="307">
      <c r="B307" s="444"/>
      <c r="F307" s="37"/>
      <c r="G307" s="37"/>
      <c r="H307" s="37"/>
    </row>
    <row r="308">
      <c r="B308" s="444"/>
      <c r="F308" s="37"/>
      <c r="G308" s="37"/>
      <c r="H308" s="37"/>
    </row>
    <row r="309">
      <c r="B309" s="444"/>
      <c r="F309" s="37"/>
      <c r="G309" s="37"/>
      <c r="H309" s="37"/>
    </row>
    <row r="310">
      <c r="B310" s="444"/>
      <c r="F310" s="37"/>
      <c r="G310" s="37"/>
      <c r="H310" s="37"/>
    </row>
    <row r="311">
      <c r="B311" s="444"/>
      <c r="F311" s="37"/>
      <c r="G311" s="37"/>
      <c r="H311" s="37"/>
    </row>
    <row r="312">
      <c r="B312" s="444"/>
      <c r="F312" s="37"/>
      <c r="G312" s="37"/>
      <c r="H312" s="37"/>
    </row>
    <row r="313">
      <c r="B313" s="444"/>
      <c r="F313" s="37"/>
      <c r="G313" s="37"/>
      <c r="H313" s="37"/>
    </row>
    <row r="314">
      <c r="B314" s="444"/>
      <c r="F314" s="37"/>
      <c r="G314" s="37"/>
      <c r="H314" s="37"/>
    </row>
    <row r="315">
      <c r="B315" s="444"/>
      <c r="F315" s="37"/>
      <c r="G315" s="37"/>
      <c r="H315" s="37"/>
    </row>
    <row r="316">
      <c r="B316" s="444"/>
      <c r="F316" s="37"/>
      <c r="G316" s="37"/>
      <c r="H316" s="37"/>
    </row>
    <row r="317">
      <c r="B317" s="444"/>
      <c r="F317" s="37"/>
      <c r="G317" s="37"/>
      <c r="H317" s="37"/>
    </row>
    <row r="318">
      <c r="B318" s="444"/>
      <c r="F318" s="37"/>
      <c r="G318" s="37"/>
      <c r="H318" s="37"/>
    </row>
    <row r="319">
      <c r="B319" s="444"/>
      <c r="F319" s="37"/>
      <c r="G319" s="37"/>
      <c r="H319" s="37"/>
    </row>
    <row r="320">
      <c r="B320" s="444"/>
      <c r="F320" s="37"/>
      <c r="G320" s="37"/>
      <c r="H320" s="37"/>
    </row>
    <row r="321">
      <c r="B321" s="444"/>
      <c r="F321" s="37"/>
      <c r="G321" s="37"/>
      <c r="H321" s="37"/>
    </row>
    <row r="322">
      <c r="B322" s="444"/>
      <c r="F322" s="37"/>
      <c r="G322" s="37"/>
      <c r="H322" s="37"/>
    </row>
    <row r="323">
      <c r="B323" s="444"/>
      <c r="F323" s="37"/>
      <c r="G323" s="37"/>
      <c r="H323" s="37"/>
    </row>
    <row r="324">
      <c r="B324" s="444"/>
      <c r="F324" s="37"/>
      <c r="G324" s="37"/>
      <c r="H324" s="37"/>
    </row>
    <row r="325">
      <c r="B325" s="444"/>
      <c r="F325" s="37"/>
      <c r="G325" s="37"/>
      <c r="H325" s="37"/>
    </row>
    <row r="326">
      <c r="B326" s="444"/>
      <c r="F326" s="37"/>
      <c r="G326" s="37"/>
      <c r="H326" s="37"/>
    </row>
    <row r="327">
      <c r="B327" s="444"/>
      <c r="F327" s="37"/>
      <c r="G327" s="37"/>
      <c r="H327" s="37"/>
    </row>
    <row r="328">
      <c r="B328" s="444"/>
      <c r="F328" s="37"/>
      <c r="G328" s="37"/>
      <c r="H328" s="37"/>
    </row>
    <row r="329">
      <c r="B329" s="444"/>
      <c r="F329" s="37"/>
      <c r="G329" s="37"/>
      <c r="H329" s="37"/>
    </row>
    <row r="330">
      <c r="B330" s="444"/>
      <c r="F330" s="37"/>
      <c r="G330" s="37"/>
      <c r="H330" s="37"/>
    </row>
    <row r="331">
      <c r="B331" s="444"/>
      <c r="F331" s="37"/>
      <c r="G331" s="37"/>
      <c r="H331" s="37"/>
    </row>
    <row r="332">
      <c r="B332" s="444"/>
      <c r="F332" s="37"/>
      <c r="G332" s="37"/>
      <c r="H332" s="37"/>
    </row>
    <row r="333">
      <c r="B333" s="444"/>
      <c r="F333" s="37"/>
      <c r="G333" s="37"/>
      <c r="H333" s="37"/>
    </row>
    <row r="334">
      <c r="B334" s="444"/>
      <c r="F334" s="37"/>
      <c r="G334" s="37"/>
      <c r="H334" s="37"/>
    </row>
    <row r="335">
      <c r="B335" s="444"/>
      <c r="F335" s="37"/>
      <c r="G335" s="37"/>
      <c r="H335" s="37"/>
    </row>
    <row r="336">
      <c r="B336" s="444"/>
      <c r="F336" s="37"/>
      <c r="G336" s="37"/>
      <c r="H336" s="37"/>
    </row>
    <row r="337">
      <c r="B337" s="444"/>
      <c r="F337" s="37"/>
      <c r="G337" s="37"/>
      <c r="H337" s="37"/>
    </row>
    <row r="338">
      <c r="B338" s="444"/>
      <c r="F338" s="37"/>
      <c r="G338" s="37"/>
      <c r="H338" s="37"/>
    </row>
    <row r="339">
      <c r="B339" s="444"/>
      <c r="F339" s="37"/>
      <c r="G339" s="37"/>
      <c r="H339" s="37"/>
    </row>
    <row r="340">
      <c r="B340" s="444"/>
      <c r="F340" s="37"/>
      <c r="G340" s="37"/>
      <c r="H340" s="37"/>
    </row>
    <row r="341">
      <c r="B341" s="444"/>
      <c r="F341" s="37"/>
      <c r="G341" s="37"/>
      <c r="H341" s="37"/>
    </row>
    <row r="342">
      <c r="B342" s="444"/>
      <c r="F342" s="37"/>
      <c r="G342" s="37"/>
      <c r="H342" s="37"/>
    </row>
    <row r="343">
      <c r="B343" s="444"/>
      <c r="F343" s="37"/>
      <c r="G343" s="37"/>
      <c r="H343" s="37"/>
    </row>
    <row r="344">
      <c r="B344" s="444"/>
      <c r="F344" s="37"/>
      <c r="G344" s="37"/>
      <c r="H344" s="37"/>
    </row>
    <row r="345">
      <c r="B345" s="444"/>
      <c r="F345" s="37"/>
      <c r="G345" s="37"/>
      <c r="H345" s="37"/>
    </row>
    <row r="346">
      <c r="B346" s="444"/>
      <c r="F346" s="37"/>
      <c r="G346" s="37"/>
      <c r="H346" s="37"/>
    </row>
    <row r="347">
      <c r="B347" s="444"/>
      <c r="F347" s="37"/>
      <c r="G347" s="37"/>
      <c r="H347" s="37"/>
    </row>
    <row r="348">
      <c r="B348" s="444"/>
      <c r="F348" s="37"/>
      <c r="G348" s="37"/>
      <c r="H348" s="37"/>
    </row>
    <row r="349">
      <c r="B349" s="444"/>
      <c r="F349" s="37"/>
      <c r="G349" s="37"/>
      <c r="H349" s="37"/>
    </row>
    <row r="350">
      <c r="B350" s="444"/>
      <c r="F350" s="37"/>
      <c r="G350" s="37"/>
      <c r="H350" s="37"/>
    </row>
    <row r="351">
      <c r="B351" s="444"/>
      <c r="F351" s="37"/>
      <c r="G351" s="37"/>
      <c r="H351" s="37"/>
    </row>
    <row r="352">
      <c r="B352" s="444"/>
      <c r="F352" s="37"/>
      <c r="G352" s="37"/>
      <c r="H352" s="37"/>
    </row>
    <row r="353">
      <c r="B353" s="444"/>
      <c r="F353" s="37"/>
      <c r="G353" s="37"/>
      <c r="H353" s="37"/>
    </row>
    <row r="354">
      <c r="B354" s="444"/>
      <c r="F354" s="37"/>
      <c r="G354" s="37"/>
      <c r="H354" s="37"/>
    </row>
    <row r="355">
      <c r="B355" s="444"/>
      <c r="F355" s="37"/>
      <c r="G355" s="37"/>
      <c r="H355" s="37"/>
    </row>
    <row r="356">
      <c r="B356" s="444"/>
      <c r="F356" s="37"/>
      <c r="G356" s="37"/>
      <c r="H356" s="37"/>
    </row>
    <row r="357">
      <c r="B357" s="444"/>
      <c r="F357" s="37"/>
      <c r="G357" s="37"/>
      <c r="H357" s="37"/>
    </row>
    <row r="358">
      <c r="B358" s="444"/>
      <c r="F358" s="37"/>
      <c r="G358" s="37"/>
      <c r="H358" s="37"/>
    </row>
    <row r="359">
      <c r="B359" s="444"/>
      <c r="F359" s="37"/>
      <c r="G359" s="37"/>
      <c r="H359" s="37"/>
    </row>
    <row r="360">
      <c r="B360" s="444"/>
      <c r="F360" s="37"/>
      <c r="G360" s="37"/>
      <c r="H360" s="37"/>
    </row>
    <row r="361">
      <c r="B361" s="444"/>
      <c r="F361" s="37"/>
      <c r="G361" s="37"/>
      <c r="H361" s="37"/>
    </row>
    <row r="362">
      <c r="B362" s="444"/>
      <c r="F362" s="37"/>
      <c r="G362" s="37"/>
      <c r="H362" s="37"/>
    </row>
    <row r="363">
      <c r="B363" s="444"/>
      <c r="F363" s="37"/>
      <c r="G363" s="37"/>
      <c r="H363" s="37"/>
    </row>
    <row r="364">
      <c r="B364" s="444"/>
      <c r="F364" s="37"/>
      <c r="G364" s="37"/>
      <c r="H364" s="37"/>
    </row>
    <row r="365">
      <c r="B365" s="444"/>
      <c r="F365" s="37"/>
      <c r="G365" s="37"/>
      <c r="H365" s="37"/>
    </row>
    <row r="366">
      <c r="B366" s="444"/>
      <c r="F366" s="37"/>
      <c r="G366" s="37"/>
      <c r="H366" s="37"/>
    </row>
    <row r="367">
      <c r="B367" s="444"/>
      <c r="F367" s="37"/>
      <c r="G367" s="37"/>
      <c r="H367" s="37"/>
    </row>
    <row r="368">
      <c r="B368" s="444"/>
      <c r="F368" s="37"/>
      <c r="G368" s="37"/>
      <c r="H368" s="37"/>
    </row>
    <row r="369">
      <c r="B369" s="444"/>
      <c r="F369" s="37"/>
      <c r="G369" s="37"/>
      <c r="H369" s="37"/>
    </row>
    <row r="370">
      <c r="B370" s="444"/>
      <c r="F370" s="37"/>
      <c r="G370" s="37"/>
      <c r="H370" s="37"/>
    </row>
    <row r="371">
      <c r="B371" s="444"/>
      <c r="F371" s="37"/>
      <c r="G371" s="37"/>
      <c r="H371" s="37"/>
    </row>
    <row r="372">
      <c r="B372" s="444"/>
      <c r="F372" s="37"/>
      <c r="G372" s="37"/>
      <c r="H372" s="37"/>
    </row>
    <row r="373">
      <c r="B373" s="444"/>
      <c r="F373" s="37"/>
      <c r="G373" s="37"/>
      <c r="H373" s="37"/>
    </row>
    <row r="374">
      <c r="B374" s="444"/>
      <c r="F374" s="37"/>
      <c r="G374" s="37"/>
      <c r="H374" s="37"/>
    </row>
    <row r="375">
      <c r="B375" s="444"/>
      <c r="F375" s="37"/>
      <c r="G375" s="37"/>
      <c r="H375" s="37"/>
    </row>
    <row r="376">
      <c r="B376" s="444"/>
      <c r="F376" s="37"/>
      <c r="G376" s="37"/>
      <c r="H376" s="37"/>
    </row>
    <row r="377">
      <c r="B377" s="444"/>
      <c r="F377" s="37"/>
      <c r="G377" s="37"/>
      <c r="H377" s="37"/>
    </row>
    <row r="378">
      <c r="B378" s="444"/>
      <c r="F378" s="37"/>
      <c r="G378" s="37"/>
      <c r="H378" s="37"/>
    </row>
    <row r="379">
      <c r="B379" s="444"/>
      <c r="F379" s="37"/>
      <c r="G379" s="37"/>
      <c r="H379" s="37"/>
    </row>
    <row r="380">
      <c r="B380" s="444"/>
      <c r="F380" s="37"/>
      <c r="G380" s="37"/>
      <c r="H380" s="37"/>
    </row>
    <row r="381">
      <c r="B381" s="444"/>
      <c r="F381" s="37"/>
      <c r="G381" s="37"/>
      <c r="H381" s="37"/>
    </row>
    <row r="382">
      <c r="B382" s="444"/>
      <c r="F382" s="37"/>
      <c r="G382" s="37"/>
      <c r="H382" s="37"/>
    </row>
    <row r="383">
      <c r="B383" s="444"/>
      <c r="F383" s="37"/>
      <c r="G383" s="37"/>
      <c r="H383" s="37"/>
    </row>
    <row r="384">
      <c r="B384" s="444"/>
      <c r="F384" s="37"/>
      <c r="G384" s="37"/>
      <c r="H384" s="37"/>
    </row>
    <row r="385">
      <c r="B385" s="444"/>
      <c r="F385" s="37"/>
      <c r="G385" s="37"/>
      <c r="H385" s="37"/>
    </row>
    <row r="386">
      <c r="B386" s="444"/>
      <c r="F386" s="37"/>
      <c r="G386" s="37"/>
      <c r="H386" s="37"/>
    </row>
    <row r="387">
      <c r="B387" s="444"/>
      <c r="F387" s="37"/>
      <c r="G387" s="37"/>
      <c r="H387" s="37"/>
    </row>
    <row r="388">
      <c r="B388" s="444"/>
      <c r="F388" s="37"/>
      <c r="G388" s="37"/>
      <c r="H388" s="37"/>
    </row>
    <row r="389">
      <c r="B389" s="444"/>
      <c r="F389" s="37"/>
      <c r="G389" s="37"/>
      <c r="H389" s="37"/>
    </row>
    <row r="390">
      <c r="B390" s="444"/>
      <c r="F390" s="37"/>
      <c r="G390" s="37"/>
      <c r="H390" s="37"/>
    </row>
    <row r="391">
      <c r="B391" s="444"/>
      <c r="F391" s="37"/>
      <c r="G391" s="37"/>
      <c r="H391" s="37"/>
    </row>
    <row r="392">
      <c r="B392" s="444"/>
      <c r="F392" s="37"/>
      <c r="G392" s="37"/>
      <c r="H392" s="37"/>
    </row>
    <row r="393">
      <c r="B393" s="444"/>
      <c r="F393" s="37"/>
      <c r="G393" s="37"/>
      <c r="H393" s="37"/>
    </row>
    <row r="394">
      <c r="B394" s="444"/>
      <c r="F394" s="37"/>
      <c r="G394" s="37"/>
      <c r="H394" s="37"/>
    </row>
    <row r="395">
      <c r="B395" s="444"/>
      <c r="F395" s="37"/>
      <c r="G395" s="37"/>
      <c r="H395" s="37"/>
    </row>
    <row r="396">
      <c r="B396" s="444"/>
      <c r="F396" s="37"/>
      <c r="G396" s="37"/>
      <c r="H396" s="37"/>
    </row>
    <row r="397">
      <c r="B397" s="444"/>
      <c r="F397" s="37"/>
      <c r="G397" s="37"/>
      <c r="H397" s="37"/>
    </row>
    <row r="398">
      <c r="B398" s="444"/>
      <c r="F398" s="37"/>
      <c r="G398" s="37"/>
      <c r="H398" s="37"/>
    </row>
    <row r="399">
      <c r="B399" s="444"/>
      <c r="F399" s="37"/>
      <c r="G399" s="37"/>
      <c r="H399" s="37"/>
    </row>
    <row r="400">
      <c r="B400" s="444"/>
      <c r="F400" s="37"/>
      <c r="G400" s="37"/>
      <c r="H400" s="37"/>
    </row>
    <row r="401">
      <c r="B401" s="444"/>
      <c r="F401" s="37"/>
      <c r="G401" s="37"/>
      <c r="H401" s="37"/>
    </row>
    <row r="402">
      <c r="B402" s="444"/>
      <c r="F402" s="37"/>
      <c r="G402" s="37"/>
      <c r="H402" s="37"/>
    </row>
    <row r="403">
      <c r="B403" s="444"/>
      <c r="F403" s="37"/>
      <c r="G403" s="37"/>
      <c r="H403" s="37"/>
    </row>
    <row r="404">
      <c r="B404" s="444"/>
      <c r="F404" s="37"/>
      <c r="G404" s="37"/>
      <c r="H404" s="37"/>
    </row>
    <row r="405">
      <c r="B405" s="444"/>
      <c r="F405" s="37"/>
      <c r="G405" s="37"/>
      <c r="H405" s="37"/>
    </row>
    <row r="406">
      <c r="B406" s="444"/>
      <c r="F406" s="37"/>
      <c r="G406" s="37"/>
      <c r="H406" s="37"/>
    </row>
    <row r="407">
      <c r="B407" s="444"/>
      <c r="F407" s="37"/>
      <c r="G407" s="37"/>
      <c r="H407" s="37"/>
    </row>
    <row r="408">
      <c r="B408" s="444"/>
      <c r="F408" s="37"/>
      <c r="G408" s="37"/>
      <c r="H408" s="37"/>
    </row>
    <row r="409">
      <c r="B409" s="444"/>
      <c r="F409" s="37"/>
      <c r="G409" s="37"/>
      <c r="H409" s="37"/>
    </row>
    <row r="410">
      <c r="B410" s="444"/>
      <c r="F410" s="37"/>
      <c r="G410" s="37"/>
      <c r="H410" s="37"/>
    </row>
    <row r="411">
      <c r="B411" s="444"/>
      <c r="F411" s="37"/>
      <c r="G411" s="37"/>
      <c r="H411" s="37"/>
    </row>
    <row r="412">
      <c r="B412" s="444"/>
      <c r="F412" s="37"/>
      <c r="G412" s="37"/>
      <c r="H412" s="37"/>
    </row>
    <row r="413">
      <c r="B413" s="444"/>
      <c r="F413" s="37"/>
      <c r="G413" s="37"/>
      <c r="H413" s="37"/>
    </row>
    <row r="414">
      <c r="B414" s="444"/>
      <c r="F414" s="37"/>
      <c r="G414" s="37"/>
      <c r="H414" s="37"/>
    </row>
    <row r="415">
      <c r="B415" s="444"/>
      <c r="F415" s="37"/>
      <c r="G415" s="37"/>
      <c r="H415" s="37"/>
    </row>
    <row r="416">
      <c r="B416" s="444"/>
      <c r="F416" s="37"/>
      <c r="G416" s="37"/>
      <c r="H416" s="37"/>
    </row>
    <row r="417">
      <c r="B417" s="444"/>
      <c r="F417" s="37"/>
      <c r="G417" s="37"/>
      <c r="H417" s="37"/>
    </row>
    <row r="418">
      <c r="B418" s="444"/>
      <c r="F418" s="37"/>
      <c r="G418" s="37"/>
      <c r="H418" s="37"/>
    </row>
    <row r="419">
      <c r="B419" s="444"/>
      <c r="F419" s="37"/>
      <c r="G419" s="37"/>
      <c r="H419" s="37"/>
    </row>
    <row r="420">
      <c r="B420" s="444"/>
      <c r="F420" s="37"/>
      <c r="G420" s="37"/>
      <c r="H420" s="37"/>
    </row>
    <row r="421">
      <c r="B421" s="444"/>
      <c r="F421" s="37"/>
      <c r="G421" s="37"/>
      <c r="H421" s="37"/>
    </row>
    <row r="422">
      <c r="B422" s="444"/>
      <c r="F422" s="37"/>
      <c r="G422" s="37"/>
      <c r="H422" s="37"/>
    </row>
    <row r="423">
      <c r="B423" s="444"/>
      <c r="F423" s="37"/>
      <c r="G423" s="37"/>
      <c r="H423" s="37"/>
    </row>
    <row r="424">
      <c r="B424" s="444"/>
      <c r="F424" s="37"/>
      <c r="G424" s="37"/>
      <c r="H424" s="37"/>
    </row>
    <row r="425">
      <c r="B425" s="444"/>
      <c r="F425" s="37"/>
      <c r="G425" s="37"/>
      <c r="H425" s="37"/>
    </row>
    <row r="426">
      <c r="B426" s="444"/>
      <c r="F426" s="37"/>
      <c r="G426" s="37"/>
      <c r="H426" s="37"/>
    </row>
    <row r="427">
      <c r="B427" s="444"/>
      <c r="F427" s="37"/>
      <c r="G427" s="37"/>
      <c r="H427" s="37"/>
    </row>
    <row r="428">
      <c r="B428" s="444"/>
      <c r="F428" s="37"/>
      <c r="G428" s="37"/>
      <c r="H428" s="37"/>
    </row>
    <row r="429">
      <c r="B429" s="444"/>
      <c r="F429" s="37"/>
      <c r="G429" s="37"/>
      <c r="H429" s="37"/>
    </row>
    <row r="430">
      <c r="B430" s="444"/>
      <c r="F430" s="37"/>
      <c r="G430" s="37"/>
      <c r="H430" s="37"/>
    </row>
    <row r="431">
      <c r="B431" s="444"/>
      <c r="F431" s="37"/>
      <c r="G431" s="37"/>
      <c r="H431" s="37"/>
    </row>
    <row r="432">
      <c r="B432" s="444"/>
      <c r="F432" s="37"/>
      <c r="G432" s="37"/>
      <c r="H432" s="37"/>
    </row>
    <row r="433">
      <c r="B433" s="444"/>
      <c r="F433" s="37"/>
      <c r="G433" s="37"/>
      <c r="H433" s="37"/>
    </row>
    <row r="434">
      <c r="B434" s="444"/>
      <c r="F434" s="37"/>
      <c r="G434" s="37"/>
      <c r="H434" s="37"/>
    </row>
    <row r="435">
      <c r="B435" s="444"/>
      <c r="F435" s="37"/>
      <c r="G435" s="37"/>
      <c r="H435" s="37"/>
    </row>
    <row r="436">
      <c r="B436" s="444"/>
      <c r="F436" s="37"/>
      <c r="G436" s="37"/>
      <c r="H436" s="37"/>
    </row>
    <row r="437">
      <c r="B437" s="444"/>
      <c r="F437" s="37"/>
      <c r="G437" s="37"/>
      <c r="H437" s="37"/>
    </row>
    <row r="438">
      <c r="B438" s="444"/>
      <c r="F438" s="37"/>
      <c r="G438" s="37"/>
      <c r="H438" s="37"/>
    </row>
    <row r="439">
      <c r="B439" s="444"/>
      <c r="F439" s="37"/>
      <c r="G439" s="37"/>
      <c r="H439" s="37"/>
    </row>
    <row r="440">
      <c r="B440" s="444"/>
      <c r="F440" s="37"/>
      <c r="G440" s="37"/>
      <c r="H440" s="37"/>
    </row>
    <row r="441">
      <c r="B441" s="444"/>
      <c r="F441" s="37"/>
      <c r="G441" s="37"/>
      <c r="H441" s="37"/>
    </row>
    <row r="442">
      <c r="B442" s="444"/>
      <c r="F442" s="37"/>
      <c r="G442" s="37"/>
      <c r="H442" s="37"/>
    </row>
    <row r="443">
      <c r="B443" s="444"/>
      <c r="F443" s="37"/>
      <c r="G443" s="37"/>
      <c r="H443" s="37"/>
    </row>
    <row r="444">
      <c r="B444" s="444"/>
      <c r="F444" s="37"/>
      <c r="G444" s="37"/>
      <c r="H444" s="37"/>
    </row>
    <row r="445">
      <c r="B445" s="444"/>
      <c r="F445" s="37"/>
      <c r="G445" s="37"/>
      <c r="H445" s="37"/>
    </row>
    <row r="446">
      <c r="B446" s="444"/>
      <c r="F446" s="37"/>
      <c r="G446" s="37"/>
      <c r="H446" s="37"/>
    </row>
    <row r="447">
      <c r="B447" s="444"/>
      <c r="F447" s="37"/>
      <c r="G447" s="37"/>
      <c r="H447" s="37"/>
    </row>
    <row r="448">
      <c r="B448" s="444"/>
      <c r="F448" s="37"/>
      <c r="G448" s="37"/>
      <c r="H448" s="37"/>
    </row>
    <row r="449">
      <c r="B449" s="444"/>
      <c r="F449" s="37"/>
      <c r="G449" s="37"/>
      <c r="H449" s="37"/>
    </row>
    <row r="450">
      <c r="B450" s="444"/>
      <c r="F450" s="37"/>
      <c r="G450" s="37"/>
      <c r="H450" s="37"/>
    </row>
    <row r="451">
      <c r="B451" s="444"/>
      <c r="F451" s="37"/>
      <c r="G451" s="37"/>
      <c r="H451" s="37"/>
    </row>
    <row r="452">
      <c r="B452" s="444"/>
      <c r="F452" s="37"/>
      <c r="G452" s="37"/>
      <c r="H452" s="37"/>
    </row>
    <row r="453">
      <c r="B453" s="444"/>
      <c r="F453" s="37"/>
      <c r="G453" s="37"/>
      <c r="H453" s="37"/>
    </row>
    <row r="454">
      <c r="B454" s="444"/>
      <c r="F454" s="37"/>
      <c r="G454" s="37"/>
      <c r="H454" s="37"/>
    </row>
    <row r="455">
      <c r="B455" s="444"/>
      <c r="F455" s="37"/>
      <c r="G455" s="37"/>
      <c r="H455" s="37"/>
    </row>
    <row r="456">
      <c r="B456" s="444"/>
      <c r="F456" s="37"/>
      <c r="G456" s="37"/>
      <c r="H456" s="37"/>
    </row>
    <row r="457">
      <c r="B457" s="444"/>
      <c r="F457" s="37"/>
      <c r="G457" s="37"/>
      <c r="H457" s="37"/>
    </row>
    <row r="458">
      <c r="B458" s="444"/>
      <c r="F458" s="37"/>
      <c r="G458" s="37"/>
      <c r="H458" s="37"/>
    </row>
    <row r="459">
      <c r="B459" s="444"/>
      <c r="F459" s="37"/>
      <c r="G459" s="37"/>
      <c r="H459" s="37"/>
    </row>
    <row r="460">
      <c r="B460" s="444"/>
      <c r="F460" s="37"/>
      <c r="G460" s="37"/>
      <c r="H460" s="37"/>
    </row>
    <row r="461">
      <c r="B461" s="444"/>
      <c r="F461" s="37"/>
      <c r="G461" s="37"/>
      <c r="H461" s="37"/>
    </row>
    <row r="462">
      <c r="B462" s="444"/>
      <c r="F462" s="37"/>
      <c r="G462" s="37"/>
      <c r="H462" s="37"/>
    </row>
    <row r="463">
      <c r="B463" s="444"/>
      <c r="F463" s="37"/>
      <c r="G463" s="37"/>
      <c r="H463" s="37"/>
    </row>
    <row r="464">
      <c r="B464" s="444"/>
      <c r="F464" s="37"/>
      <c r="G464" s="37"/>
      <c r="H464" s="37"/>
    </row>
    <row r="465">
      <c r="B465" s="444"/>
      <c r="F465" s="37"/>
      <c r="G465" s="37"/>
      <c r="H465" s="37"/>
    </row>
    <row r="466">
      <c r="B466" s="444"/>
      <c r="F466" s="37"/>
      <c r="G466" s="37"/>
      <c r="H466" s="37"/>
    </row>
    <row r="467">
      <c r="B467" s="444"/>
      <c r="F467" s="37"/>
      <c r="G467" s="37"/>
      <c r="H467" s="37"/>
    </row>
    <row r="468">
      <c r="B468" s="444"/>
      <c r="F468" s="37"/>
      <c r="G468" s="37"/>
      <c r="H468" s="37"/>
    </row>
    <row r="469">
      <c r="B469" s="444"/>
      <c r="F469" s="37"/>
      <c r="G469" s="37"/>
      <c r="H469" s="37"/>
    </row>
    <row r="470">
      <c r="B470" s="444"/>
      <c r="F470" s="37"/>
      <c r="G470" s="37"/>
      <c r="H470" s="37"/>
    </row>
    <row r="471">
      <c r="B471" s="444"/>
      <c r="F471" s="37"/>
      <c r="G471" s="37"/>
      <c r="H471" s="37"/>
    </row>
    <row r="472">
      <c r="B472" s="444"/>
      <c r="F472" s="37"/>
      <c r="G472" s="37"/>
      <c r="H472" s="37"/>
    </row>
    <row r="473">
      <c r="B473" s="444"/>
      <c r="F473" s="37"/>
      <c r="G473" s="37"/>
      <c r="H473" s="37"/>
    </row>
    <row r="474">
      <c r="B474" s="444"/>
      <c r="F474" s="37"/>
      <c r="G474" s="37"/>
      <c r="H474" s="37"/>
    </row>
    <row r="475">
      <c r="B475" s="444"/>
      <c r="F475" s="37"/>
      <c r="G475" s="37"/>
      <c r="H475" s="37"/>
    </row>
    <row r="476">
      <c r="B476" s="444"/>
      <c r="F476" s="37"/>
      <c r="G476" s="37"/>
      <c r="H476" s="37"/>
    </row>
    <row r="477">
      <c r="B477" s="444"/>
      <c r="F477" s="37"/>
      <c r="G477" s="37"/>
      <c r="H477" s="37"/>
    </row>
    <row r="478">
      <c r="B478" s="444"/>
      <c r="F478" s="37"/>
      <c r="G478" s="37"/>
      <c r="H478" s="37"/>
    </row>
    <row r="479">
      <c r="B479" s="444"/>
      <c r="F479" s="37"/>
      <c r="G479" s="37"/>
      <c r="H479" s="37"/>
    </row>
    <row r="480">
      <c r="B480" s="444"/>
      <c r="F480" s="37"/>
      <c r="G480" s="37"/>
      <c r="H480" s="37"/>
    </row>
    <row r="481">
      <c r="B481" s="444"/>
      <c r="F481" s="37"/>
      <c r="G481" s="37"/>
      <c r="H481" s="37"/>
    </row>
    <row r="482">
      <c r="B482" s="444"/>
      <c r="F482" s="37"/>
      <c r="G482" s="37"/>
      <c r="H482" s="37"/>
    </row>
    <row r="483">
      <c r="B483" s="444"/>
      <c r="F483" s="37"/>
      <c r="G483" s="37"/>
      <c r="H483" s="37"/>
    </row>
    <row r="484">
      <c r="B484" s="444"/>
      <c r="F484" s="37"/>
      <c r="G484" s="37"/>
      <c r="H484" s="37"/>
    </row>
    <row r="485">
      <c r="B485" s="444"/>
      <c r="F485" s="37"/>
      <c r="G485" s="37"/>
      <c r="H485" s="37"/>
    </row>
    <row r="486">
      <c r="B486" s="444"/>
      <c r="F486" s="37"/>
      <c r="G486" s="37"/>
      <c r="H486" s="37"/>
    </row>
    <row r="487">
      <c r="B487" s="444"/>
      <c r="F487" s="37"/>
      <c r="G487" s="37"/>
      <c r="H487" s="37"/>
    </row>
    <row r="488">
      <c r="B488" s="444"/>
      <c r="F488" s="37"/>
      <c r="G488" s="37"/>
      <c r="H488" s="37"/>
    </row>
    <row r="489">
      <c r="B489" s="444"/>
      <c r="F489" s="37"/>
      <c r="G489" s="37"/>
      <c r="H489" s="37"/>
    </row>
    <row r="490">
      <c r="B490" s="444"/>
      <c r="F490" s="37"/>
      <c r="G490" s="37"/>
      <c r="H490" s="37"/>
    </row>
    <row r="491">
      <c r="B491" s="444"/>
      <c r="F491" s="37"/>
      <c r="G491" s="37"/>
      <c r="H491" s="37"/>
    </row>
    <row r="492">
      <c r="B492" s="444"/>
      <c r="F492" s="37"/>
      <c r="G492" s="37"/>
      <c r="H492" s="37"/>
    </row>
    <row r="493">
      <c r="B493" s="444"/>
      <c r="F493" s="37"/>
      <c r="G493" s="37"/>
      <c r="H493" s="37"/>
    </row>
    <row r="494">
      <c r="B494" s="444"/>
      <c r="F494" s="37"/>
      <c r="G494" s="37"/>
      <c r="H494" s="37"/>
    </row>
    <row r="495">
      <c r="B495" s="444"/>
      <c r="F495" s="37"/>
      <c r="G495" s="37"/>
      <c r="H495" s="37"/>
    </row>
    <row r="496">
      <c r="B496" s="444"/>
      <c r="F496" s="37"/>
      <c r="G496" s="37"/>
      <c r="H496" s="37"/>
    </row>
    <row r="497">
      <c r="B497" s="444"/>
      <c r="F497" s="37"/>
      <c r="G497" s="37"/>
      <c r="H497" s="37"/>
    </row>
    <row r="498">
      <c r="B498" s="444"/>
      <c r="F498" s="37"/>
      <c r="G498" s="37"/>
      <c r="H498" s="37"/>
    </row>
    <row r="499">
      <c r="B499" s="444"/>
      <c r="F499" s="37"/>
      <c r="G499" s="37"/>
      <c r="H499" s="37"/>
    </row>
    <row r="500">
      <c r="B500" s="444"/>
      <c r="F500" s="37"/>
      <c r="G500" s="37"/>
      <c r="H500" s="37"/>
    </row>
    <row r="501">
      <c r="B501" s="444"/>
      <c r="F501" s="37"/>
      <c r="G501" s="37"/>
      <c r="H501" s="37"/>
    </row>
    <row r="502">
      <c r="B502" s="444"/>
      <c r="F502" s="37"/>
      <c r="G502" s="37"/>
      <c r="H502" s="37"/>
    </row>
    <row r="503">
      <c r="B503" s="444"/>
      <c r="F503" s="37"/>
      <c r="G503" s="37"/>
      <c r="H503" s="37"/>
    </row>
    <row r="504">
      <c r="B504" s="444"/>
      <c r="F504" s="37"/>
      <c r="G504" s="37"/>
      <c r="H504" s="37"/>
    </row>
    <row r="505">
      <c r="B505" s="444"/>
      <c r="F505" s="37"/>
      <c r="G505" s="37"/>
      <c r="H505" s="37"/>
    </row>
    <row r="506">
      <c r="B506" s="444"/>
      <c r="F506" s="37"/>
      <c r="G506" s="37"/>
      <c r="H506" s="37"/>
    </row>
    <row r="507">
      <c r="B507" s="444"/>
      <c r="F507" s="37"/>
      <c r="G507" s="37"/>
      <c r="H507" s="37"/>
    </row>
    <row r="508">
      <c r="B508" s="444"/>
      <c r="F508" s="37"/>
      <c r="G508" s="37"/>
      <c r="H508" s="37"/>
    </row>
    <row r="509">
      <c r="B509" s="444"/>
      <c r="F509" s="37"/>
      <c r="G509" s="37"/>
      <c r="H509" s="37"/>
    </row>
    <row r="510">
      <c r="B510" s="444"/>
      <c r="F510" s="37"/>
      <c r="G510" s="37"/>
      <c r="H510" s="37"/>
    </row>
    <row r="511">
      <c r="B511" s="444"/>
      <c r="F511" s="37"/>
      <c r="G511" s="37"/>
      <c r="H511" s="37"/>
    </row>
    <row r="512">
      <c r="B512" s="444"/>
      <c r="F512" s="37"/>
      <c r="G512" s="37"/>
      <c r="H512" s="37"/>
    </row>
    <row r="513">
      <c r="B513" s="444"/>
      <c r="F513" s="37"/>
      <c r="G513" s="37"/>
      <c r="H513" s="37"/>
    </row>
    <row r="514">
      <c r="B514" s="444"/>
      <c r="F514" s="37"/>
      <c r="G514" s="37"/>
      <c r="H514" s="37"/>
    </row>
    <row r="515">
      <c r="B515" s="444"/>
      <c r="F515" s="37"/>
      <c r="G515" s="37"/>
      <c r="H515" s="37"/>
    </row>
    <row r="516">
      <c r="B516" s="444"/>
      <c r="F516" s="37"/>
      <c r="G516" s="37"/>
      <c r="H516" s="37"/>
    </row>
    <row r="517">
      <c r="B517" s="444"/>
      <c r="F517" s="37"/>
      <c r="G517" s="37"/>
      <c r="H517" s="37"/>
    </row>
    <row r="518">
      <c r="B518" s="444"/>
      <c r="F518" s="37"/>
      <c r="G518" s="37"/>
      <c r="H518" s="37"/>
    </row>
    <row r="519">
      <c r="B519" s="444"/>
      <c r="F519" s="37"/>
      <c r="G519" s="37"/>
      <c r="H519" s="37"/>
    </row>
    <row r="520">
      <c r="B520" s="444"/>
      <c r="F520" s="37"/>
      <c r="G520" s="37"/>
      <c r="H520" s="37"/>
    </row>
    <row r="521">
      <c r="B521" s="444"/>
      <c r="F521" s="37"/>
      <c r="G521" s="37"/>
      <c r="H521" s="37"/>
    </row>
    <row r="522">
      <c r="B522" s="444"/>
      <c r="F522" s="37"/>
      <c r="G522" s="37"/>
      <c r="H522" s="37"/>
    </row>
    <row r="523">
      <c r="B523" s="444"/>
      <c r="F523" s="37"/>
      <c r="G523" s="37"/>
      <c r="H523" s="37"/>
    </row>
    <row r="524">
      <c r="B524" s="444"/>
      <c r="F524" s="37"/>
      <c r="G524" s="37"/>
      <c r="H524" s="37"/>
    </row>
    <row r="525">
      <c r="B525" s="444"/>
      <c r="F525" s="37"/>
      <c r="G525" s="37"/>
      <c r="H525" s="37"/>
    </row>
    <row r="526">
      <c r="B526" s="444"/>
      <c r="F526" s="37"/>
      <c r="G526" s="37"/>
      <c r="H526" s="37"/>
    </row>
    <row r="527">
      <c r="B527" s="444"/>
      <c r="F527" s="37"/>
      <c r="G527" s="37"/>
      <c r="H527" s="37"/>
    </row>
    <row r="528">
      <c r="B528" s="444"/>
      <c r="F528" s="37"/>
      <c r="G528" s="37"/>
      <c r="H528" s="37"/>
    </row>
    <row r="529">
      <c r="B529" s="444"/>
      <c r="F529" s="37"/>
      <c r="G529" s="37"/>
      <c r="H529" s="37"/>
    </row>
    <row r="530">
      <c r="B530" s="444"/>
      <c r="F530" s="37"/>
      <c r="G530" s="37"/>
      <c r="H530" s="37"/>
    </row>
    <row r="531">
      <c r="B531" s="444"/>
      <c r="F531" s="37"/>
      <c r="G531" s="37"/>
      <c r="H531" s="37"/>
    </row>
    <row r="532">
      <c r="B532" s="444"/>
      <c r="F532" s="37"/>
      <c r="G532" s="37"/>
      <c r="H532" s="37"/>
    </row>
    <row r="533">
      <c r="B533" s="444"/>
      <c r="F533" s="37"/>
      <c r="G533" s="37"/>
      <c r="H533" s="37"/>
    </row>
    <row r="534">
      <c r="B534" s="444"/>
      <c r="F534" s="37"/>
      <c r="G534" s="37"/>
      <c r="H534" s="37"/>
    </row>
    <row r="535">
      <c r="B535" s="444"/>
      <c r="F535" s="37"/>
      <c r="G535" s="37"/>
      <c r="H535" s="37"/>
    </row>
    <row r="536">
      <c r="B536" s="444"/>
      <c r="F536" s="37"/>
      <c r="G536" s="37"/>
      <c r="H536" s="37"/>
    </row>
    <row r="537">
      <c r="B537" s="444"/>
      <c r="F537" s="37"/>
      <c r="G537" s="37"/>
      <c r="H537" s="37"/>
    </row>
    <row r="538">
      <c r="B538" s="444"/>
      <c r="F538" s="37"/>
      <c r="G538" s="37"/>
      <c r="H538" s="37"/>
    </row>
    <row r="539">
      <c r="B539" s="444"/>
      <c r="F539" s="37"/>
      <c r="G539" s="37"/>
      <c r="H539" s="37"/>
    </row>
    <row r="540">
      <c r="B540" s="444"/>
      <c r="F540" s="37"/>
      <c r="G540" s="37"/>
      <c r="H540" s="37"/>
    </row>
    <row r="541">
      <c r="B541" s="444"/>
      <c r="F541" s="37"/>
      <c r="G541" s="37"/>
      <c r="H541" s="37"/>
    </row>
    <row r="542">
      <c r="B542" s="444"/>
      <c r="F542" s="37"/>
      <c r="G542" s="37"/>
      <c r="H542" s="37"/>
    </row>
    <row r="543">
      <c r="B543" s="444"/>
      <c r="F543" s="37"/>
      <c r="G543" s="37"/>
      <c r="H543" s="37"/>
    </row>
    <row r="544">
      <c r="B544" s="444"/>
      <c r="F544" s="37"/>
      <c r="G544" s="37"/>
      <c r="H544" s="37"/>
    </row>
    <row r="545">
      <c r="B545" s="444"/>
      <c r="F545" s="37"/>
      <c r="G545" s="37"/>
      <c r="H545" s="37"/>
    </row>
    <row r="546">
      <c r="B546" s="444"/>
      <c r="F546" s="37"/>
      <c r="G546" s="37"/>
      <c r="H546" s="37"/>
    </row>
    <row r="547">
      <c r="B547" s="444"/>
      <c r="F547" s="37"/>
      <c r="G547" s="37"/>
      <c r="H547" s="37"/>
    </row>
    <row r="548">
      <c r="B548" s="444"/>
      <c r="F548" s="37"/>
      <c r="G548" s="37"/>
      <c r="H548" s="37"/>
    </row>
    <row r="549">
      <c r="B549" s="444"/>
      <c r="F549" s="37"/>
      <c r="G549" s="37"/>
      <c r="H549" s="37"/>
    </row>
    <row r="550">
      <c r="B550" s="444"/>
      <c r="F550" s="37"/>
      <c r="G550" s="37"/>
      <c r="H550" s="37"/>
    </row>
    <row r="551">
      <c r="B551" s="444"/>
      <c r="F551" s="37"/>
      <c r="G551" s="37"/>
      <c r="H551" s="37"/>
    </row>
    <row r="552">
      <c r="B552" s="444"/>
      <c r="F552" s="37"/>
      <c r="G552" s="37"/>
      <c r="H552" s="37"/>
    </row>
    <row r="553">
      <c r="B553" s="444"/>
      <c r="F553" s="37"/>
      <c r="G553" s="37"/>
      <c r="H553" s="37"/>
    </row>
    <row r="554">
      <c r="B554" s="444"/>
      <c r="F554" s="37"/>
      <c r="G554" s="37"/>
      <c r="H554" s="37"/>
    </row>
    <row r="555">
      <c r="B555" s="444"/>
      <c r="F555" s="37"/>
      <c r="G555" s="37"/>
      <c r="H555" s="37"/>
    </row>
    <row r="556">
      <c r="B556" s="444"/>
      <c r="F556" s="37"/>
      <c r="G556" s="37"/>
      <c r="H556" s="37"/>
    </row>
    <row r="557">
      <c r="B557" s="444"/>
      <c r="F557" s="37"/>
      <c r="G557" s="37"/>
      <c r="H557" s="37"/>
    </row>
    <row r="558">
      <c r="B558" s="444"/>
      <c r="F558" s="37"/>
      <c r="G558" s="37"/>
      <c r="H558" s="37"/>
    </row>
    <row r="559">
      <c r="B559" s="444"/>
      <c r="F559" s="37"/>
      <c r="G559" s="37"/>
      <c r="H559" s="37"/>
    </row>
    <row r="560">
      <c r="B560" s="444"/>
      <c r="F560" s="37"/>
      <c r="G560" s="37"/>
      <c r="H560" s="37"/>
    </row>
    <row r="561">
      <c r="B561" s="444"/>
      <c r="F561" s="37"/>
      <c r="G561" s="37"/>
      <c r="H561" s="37"/>
    </row>
    <row r="562">
      <c r="B562" s="444"/>
      <c r="F562" s="37"/>
      <c r="G562" s="37"/>
      <c r="H562" s="37"/>
    </row>
    <row r="563">
      <c r="B563" s="444"/>
      <c r="F563" s="37"/>
      <c r="G563" s="37"/>
      <c r="H563" s="37"/>
    </row>
    <row r="564">
      <c r="B564" s="444"/>
      <c r="F564" s="37"/>
      <c r="G564" s="37"/>
      <c r="H564" s="37"/>
    </row>
    <row r="565">
      <c r="B565" s="444"/>
      <c r="F565" s="37"/>
      <c r="G565" s="37"/>
      <c r="H565" s="37"/>
    </row>
    <row r="566">
      <c r="B566" s="444"/>
      <c r="F566" s="37"/>
      <c r="G566" s="37"/>
      <c r="H566" s="37"/>
    </row>
    <row r="567">
      <c r="B567" s="444"/>
      <c r="F567" s="37"/>
      <c r="G567" s="37"/>
      <c r="H567" s="37"/>
    </row>
    <row r="568">
      <c r="B568" s="444"/>
      <c r="F568" s="37"/>
      <c r="G568" s="37"/>
      <c r="H568" s="37"/>
    </row>
    <row r="569">
      <c r="B569" s="444"/>
      <c r="F569" s="37"/>
      <c r="G569" s="37"/>
      <c r="H569" s="37"/>
    </row>
    <row r="570">
      <c r="B570" s="444"/>
      <c r="F570" s="37"/>
      <c r="G570" s="37"/>
      <c r="H570" s="37"/>
    </row>
    <row r="571">
      <c r="B571" s="444"/>
      <c r="F571" s="37"/>
      <c r="G571" s="37"/>
      <c r="H571" s="37"/>
    </row>
    <row r="572">
      <c r="B572" s="444"/>
      <c r="F572" s="37"/>
      <c r="G572" s="37"/>
      <c r="H572" s="37"/>
    </row>
    <row r="573">
      <c r="B573" s="444"/>
      <c r="F573" s="37"/>
      <c r="G573" s="37"/>
      <c r="H573" s="37"/>
    </row>
    <row r="574">
      <c r="B574" s="444"/>
      <c r="F574" s="37"/>
      <c r="G574" s="37"/>
      <c r="H574" s="37"/>
    </row>
    <row r="575">
      <c r="B575" s="444"/>
      <c r="F575" s="37"/>
      <c r="G575" s="37"/>
      <c r="H575" s="37"/>
    </row>
    <row r="576">
      <c r="B576" s="444"/>
      <c r="F576" s="37"/>
      <c r="G576" s="37"/>
      <c r="H576" s="37"/>
    </row>
    <row r="577">
      <c r="B577" s="444"/>
      <c r="F577" s="37"/>
      <c r="G577" s="37"/>
      <c r="H577" s="37"/>
    </row>
    <row r="578">
      <c r="B578" s="444"/>
      <c r="F578" s="37"/>
      <c r="G578" s="37"/>
      <c r="H578" s="37"/>
    </row>
    <row r="579">
      <c r="B579" s="444"/>
      <c r="F579" s="37"/>
      <c r="G579" s="37"/>
      <c r="H579" s="37"/>
    </row>
    <row r="580">
      <c r="B580" s="444"/>
      <c r="F580" s="37"/>
      <c r="G580" s="37"/>
      <c r="H580" s="37"/>
    </row>
    <row r="581">
      <c r="B581" s="444"/>
      <c r="F581" s="37"/>
      <c r="G581" s="37"/>
      <c r="H581" s="37"/>
    </row>
    <row r="582">
      <c r="B582" s="444"/>
      <c r="F582" s="37"/>
      <c r="G582" s="37"/>
      <c r="H582" s="37"/>
    </row>
    <row r="583">
      <c r="B583" s="444"/>
      <c r="F583" s="37"/>
      <c r="G583" s="37"/>
      <c r="H583" s="37"/>
    </row>
    <row r="584">
      <c r="B584" s="444"/>
      <c r="F584" s="37"/>
      <c r="G584" s="37"/>
      <c r="H584" s="37"/>
    </row>
    <row r="585">
      <c r="B585" s="444"/>
      <c r="F585" s="37"/>
      <c r="G585" s="37"/>
      <c r="H585" s="37"/>
    </row>
    <row r="586">
      <c r="B586" s="444"/>
      <c r="F586" s="37"/>
      <c r="G586" s="37"/>
      <c r="H586" s="37"/>
    </row>
    <row r="587">
      <c r="B587" s="444"/>
      <c r="F587" s="37"/>
      <c r="G587" s="37"/>
      <c r="H587" s="37"/>
    </row>
    <row r="588">
      <c r="B588" s="444"/>
      <c r="F588" s="37"/>
      <c r="G588" s="37"/>
      <c r="H588" s="37"/>
    </row>
    <row r="589">
      <c r="B589" s="444"/>
      <c r="F589" s="37"/>
      <c r="G589" s="37"/>
      <c r="H589" s="37"/>
    </row>
    <row r="590">
      <c r="B590" s="444"/>
      <c r="F590" s="37"/>
      <c r="G590" s="37"/>
      <c r="H590" s="37"/>
    </row>
    <row r="591">
      <c r="B591" s="444"/>
      <c r="F591" s="37"/>
      <c r="G591" s="37"/>
      <c r="H591" s="37"/>
    </row>
    <row r="592">
      <c r="B592" s="444"/>
      <c r="F592" s="37"/>
      <c r="G592" s="37"/>
      <c r="H592" s="37"/>
    </row>
    <row r="593">
      <c r="B593" s="444"/>
      <c r="F593" s="37"/>
      <c r="G593" s="37"/>
      <c r="H593" s="37"/>
    </row>
    <row r="594">
      <c r="B594" s="444"/>
      <c r="F594" s="37"/>
      <c r="G594" s="37"/>
      <c r="H594" s="37"/>
    </row>
    <row r="595">
      <c r="B595" s="444"/>
      <c r="F595" s="37"/>
      <c r="G595" s="37"/>
      <c r="H595" s="37"/>
    </row>
    <row r="596">
      <c r="B596" s="444"/>
      <c r="F596" s="37"/>
      <c r="G596" s="37"/>
      <c r="H596" s="37"/>
    </row>
    <row r="597">
      <c r="B597" s="444"/>
      <c r="F597" s="37"/>
      <c r="G597" s="37"/>
      <c r="H597" s="37"/>
    </row>
    <row r="598">
      <c r="B598" s="444"/>
      <c r="F598" s="37"/>
      <c r="G598" s="37"/>
      <c r="H598" s="37"/>
    </row>
    <row r="599">
      <c r="B599" s="444"/>
      <c r="F599" s="37"/>
      <c r="G599" s="37"/>
      <c r="H599" s="37"/>
    </row>
    <row r="600">
      <c r="B600" s="444"/>
      <c r="F600" s="37"/>
      <c r="G600" s="37"/>
      <c r="H600" s="37"/>
    </row>
    <row r="601">
      <c r="B601" s="444"/>
      <c r="F601" s="37"/>
      <c r="G601" s="37"/>
      <c r="H601" s="37"/>
    </row>
    <row r="602">
      <c r="B602" s="444"/>
      <c r="F602" s="37"/>
      <c r="G602" s="37"/>
      <c r="H602" s="37"/>
    </row>
    <row r="603">
      <c r="B603" s="444"/>
      <c r="F603" s="37"/>
      <c r="G603" s="37"/>
      <c r="H603" s="37"/>
    </row>
    <row r="604">
      <c r="B604" s="444"/>
      <c r="F604" s="37"/>
      <c r="G604" s="37"/>
      <c r="H604" s="37"/>
    </row>
    <row r="605">
      <c r="B605" s="444"/>
      <c r="F605" s="37"/>
      <c r="G605" s="37"/>
      <c r="H605" s="37"/>
    </row>
    <row r="606">
      <c r="B606" s="444"/>
      <c r="F606" s="37"/>
      <c r="G606" s="37"/>
      <c r="H606" s="37"/>
    </row>
    <row r="607">
      <c r="B607" s="444"/>
      <c r="F607" s="37"/>
      <c r="G607" s="37"/>
      <c r="H607" s="37"/>
    </row>
    <row r="608">
      <c r="B608" s="444"/>
      <c r="F608" s="37"/>
      <c r="G608" s="37"/>
      <c r="H608" s="37"/>
    </row>
    <row r="609">
      <c r="B609" s="444"/>
      <c r="F609" s="37"/>
      <c r="G609" s="37"/>
      <c r="H609" s="37"/>
    </row>
    <row r="610">
      <c r="B610" s="444"/>
      <c r="F610" s="37"/>
      <c r="G610" s="37"/>
      <c r="H610" s="37"/>
    </row>
    <row r="611">
      <c r="B611" s="444"/>
      <c r="F611" s="37"/>
      <c r="G611" s="37"/>
      <c r="H611" s="37"/>
    </row>
    <row r="612">
      <c r="B612" s="444"/>
      <c r="F612" s="37"/>
      <c r="G612" s="37"/>
      <c r="H612" s="37"/>
    </row>
    <row r="613">
      <c r="B613" s="444"/>
      <c r="F613" s="37"/>
      <c r="G613" s="37"/>
      <c r="H613" s="37"/>
    </row>
    <row r="614">
      <c r="B614" s="444"/>
      <c r="F614" s="37"/>
      <c r="G614" s="37"/>
      <c r="H614" s="37"/>
    </row>
    <row r="615">
      <c r="B615" s="444"/>
      <c r="F615" s="37"/>
      <c r="G615" s="37"/>
      <c r="H615" s="37"/>
    </row>
    <row r="616">
      <c r="B616" s="444"/>
      <c r="F616" s="37"/>
      <c r="G616" s="37"/>
      <c r="H616" s="37"/>
    </row>
    <row r="617">
      <c r="B617" s="444"/>
      <c r="F617" s="37"/>
      <c r="G617" s="37"/>
      <c r="H617" s="37"/>
    </row>
    <row r="618">
      <c r="B618" s="444"/>
      <c r="F618" s="37"/>
      <c r="G618" s="37"/>
      <c r="H618" s="37"/>
    </row>
    <row r="619">
      <c r="B619" s="444"/>
      <c r="F619" s="37"/>
      <c r="G619" s="37"/>
      <c r="H619" s="37"/>
    </row>
    <row r="620">
      <c r="B620" s="444"/>
      <c r="F620" s="37"/>
      <c r="G620" s="37"/>
      <c r="H620" s="37"/>
    </row>
    <row r="621">
      <c r="B621" s="444"/>
      <c r="F621" s="37"/>
      <c r="G621" s="37"/>
      <c r="H621" s="37"/>
    </row>
    <row r="622">
      <c r="B622" s="444"/>
      <c r="F622" s="37"/>
      <c r="G622" s="37"/>
      <c r="H622" s="37"/>
    </row>
    <row r="623">
      <c r="B623" s="444"/>
      <c r="F623" s="37"/>
      <c r="G623" s="37"/>
      <c r="H623" s="37"/>
    </row>
    <row r="624">
      <c r="B624" s="444"/>
      <c r="F624" s="37"/>
      <c r="G624" s="37"/>
      <c r="H624" s="37"/>
    </row>
    <row r="625">
      <c r="B625" s="444"/>
      <c r="F625" s="37"/>
      <c r="G625" s="37"/>
      <c r="H625" s="37"/>
    </row>
    <row r="626">
      <c r="B626" s="444"/>
      <c r="F626" s="37"/>
      <c r="G626" s="37"/>
      <c r="H626" s="37"/>
    </row>
    <row r="627">
      <c r="B627" s="444"/>
      <c r="F627" s="37"/>
      <c r="G627" s="37"/>
      <c r="H627" s="37"/>
    </row>
    <row r="628">
      <c r="B628" s="444"/>
      <c r="F628" s="37"/>
      <c r="G628" s="37"/>
      <c r="H628" s="37"/>
    </row>
    <row r="629">
      <c r="B629" s="444"/>
      <c r="F629" s="37"/>
      <c r="G629" s="37"/>
      <c r="H629" s="37"/>
    </row>
    <row r="630">
      <c r="B630" s="444"/>
      <c r="F630" s="37"/>
      <c r="G630" s="37"/>
      <c r="H630" s="37"/>
    </row>
    <row r="631">
      <c r="B631" s="444"/>
      <c r="F631" s="37"/>
      <c r="G631" s="37"/>
      <c r="H631" s="37"/>
    </row>
    <row r="632">
      <c r="B632" s="444"/>
      <c r="F632" s="37"/>
      <c r="G632" s="37"/>
      <c r="H632" s="37"/>
    </row>
    <row r="633">
      <c r="B633" s="444"/>
      <c r="F633" s="37"/>
      <c r="G633" s="37"/>
      <c r="H633" s="37"/>
    </row>
    <row r="634">
      <c r="B634" s="444"/>
      <c r="F634" s="37"/>
      <c r="G634" s="37"/>
      <c r="H634" s="37"/>
    </row>
    <row r="635">
      <c r="B635" s="444"/>
      <c r="F635" s="37"/>
      <c r="G635" s="37"/>
      <c r="H635" s="37"/>
    </row>
    <row r="636">
      <c r="B636" s="444"/>
      <c r="F636" s="37"/>
      <c r="G636" s="37"/>
      <c r="H636" s="37"/>
    </row>
    <row r="637">
      <c r="B637" s="444"/>
      <c r="F637" s="37"/>
      <c r="G637" s="37"/>
      <c r="H637" s="37"/>
    </row>
    <row r="638">
      <c r="B638" s="444"/>
      <c r="F638" s="37"/>
      <c r="G638" s="37"/>
      <c r="H638" s="37"/>
    </row>
    <row r="639">
      <c r="B639" s="444"/>
      <c r="F639" s="37"/>
      <c r="G639" s="37"/>
      <c r="H639" s="37"/>
    </row>
    <row r="640">
      <c r="B640" s="444"/>
      <c r="F640" s="37"/>
      <c r="G640" s="37"/>
      <c r="H640" s="37"/>
    </row>
    <row r="641">
      <c r="B641" s="444"/>
      <c r="F641" s="37"/>
      <c r="G641" s="37"/>
      <c r="H641" s="37"/>
    </row>
    <row r="642">
      <c r="B642" s="444"/>
      <c r="F642" s="37"/>
      <c r="G642" s="37"/>
      <c r="H642" s="37"/>
    </row>
    <row r="643">
      <c r="B643" s="444"/>
      <c r="F643" s="37"/>
      <c r="G643" s="37"/>
      <c r="H643" s="37"/>
    </row>
    <row r="644">
      <c r="B644" s="444"/>
      <c r="F644" s="37"/>
      <c r="G644" s="37"/>
      <c r="H644" s="37"/>
    </row>
    <row r="645">
      <c r="B645" s="444"/>
      <c r="F645" s="37"/>
      <c r="G645" s="37"/>
      <c r="H645" s="37"/>
    </row>
    <row r="646">
      <c r="B646" s="444"/>
      <c r="F646" s="37"/>
      <c r="G646" s="37"/>
      <c r="H646" s="37"/>
    </row>
    <row r="647">
      <c r="B647" s="444"/>
      <c r="F647" s="37"/>
      <c r="G647" s="37"/>
      <c r="H647" s="37"/>
    </row>
    <row r="648">
      <c r="B648" s="444"/>
      <c r="F648" s="37"/>
      <c r="G648" s="37"/>
      <c r="H648" s="37"/>
    </row>
    <row r="649">
      <c r="B649" s="444"/>
      <c r="F649" s="37"/>
      <c r="G649" s="37"/>
      <c r="H649" s="37"/>
    </row>
    <row r="650">
      <c r="B650" s="444"/>
      <c r="F650" s="37"/>
      <c r="G650" s="37"/>
      <c r="H650" s="37"/>
    </row>
    <row r="651">
      <c r="B651" s="444"/>
      <c r="F651" s="37"/>
      <c r="G651" s="37"/>
      <c r="H651" s="37"/>
    </row>
    <row r="652">
      <c r="B652" s="444"/>
      <c r="F652" s="37"/>
      <c r="G652" s="37"/>
      <c r="H652" s="37"/>
    </row>
    <row r="653">
      <c r="B653" s="444"/>
      <c r="F653" s="37"/>
      <c r="G653" s="37"/>
      <c r="H653" s="37"/>
    </row>
    <row r="654">
      <c r="B654" s="444"/>
      <c r="F654" s="37"/>
      <c r="G654" s="37"/>
      <c r="H654" s="37"/>
    </row>
    <row r="655">
      <c r="B655" s="444"/>
      <c r="F655" s="37"/>
      <c r="G655" s="37"/>
      <c r="H655" s="37"/>
    </row>
    <row r="656">
      <c r="B656" s="444"/>
      <c r="F656" s="37"/>
      <c r="G656" s="37"/>
      <c r="H656" s="37"/>
    </row>
    <row r="657">
      <c r="B657" s="444"/>
      <c r="F657" s="37"/>
      <c r="G657" s="37"/>
      <c r="H657" s="37"/>
    </row>
    <row r="658">
      <c r="B658" s="444"/>
      <c r="F658" s="37"/>
      <c r="G658" s="37"/>
      <c r="H658" s="37"/>
    </row>
    <row r="659">
      <c r="B659" s="444"/>
      <c r="F659" s="37"/>
      <c r="G659" s="37"/>
      <c r="H659" s="37"/>
    </row>
    <row r="660">
      <c r="B660" s="444"/>
      <c r="F660" s="37"/>
      <c r="G660" s="37"/>
      <c r="H660" s="37"/>
    </row>
    <row r="661">
      <c r="B661" s="444"/>
      <c r="F661" s="37"/>
      <c r="G661" s="37"/>
      <c r="H661" s="37"/>
    </row>
    <row r="662">
      <c r="B662" s="444"/>
      <c r="F662" s="37"/>
      <c r="G662" s="37"/>
      <c r="H662" s="37"/>
    </row>
    <row r="663">
      <c r="B663" s="444"/>
      <c r="F663" s="37"/>
      <c r="G663" s="37"/>
      <c r="H663" s="37"/>
    </row>
    <row r="664">
      <c r="B664" s="444"/>
      <c r="F664" s="37"/>
      <c r="G664" s="37"/>
      <c r="H664" s="37"/>
    </row>
    <row r="665">
      <c r="B665" s="444"/>
      <c r="F665" s="37"/>
      <c r="G665" s="37"/>
      <c r="H665" s="37"/>
    </row>
    <row r="666">
      <c r="B666" s="444"/>
      <c r="F666" s="37"/>
      <c r="G666" s="37"/>
      <c r="H666" s="37"/>
    </row>
    <row r="667">
      <c r="B667" s="444"/>
      <c r="F667" s="37"/>
      <c r="G667" s="37"/>
      <c r="H667" s="37"/>
    </row>
    <row r="668">
      <c r="B668" s="444"/>
      <c r="F668" s="37"/>
      <c r="G668" s="37"/>
      <c r="H668" s="37"/>
    </row>
    <row r="669">
      <c r="B669" s="444"/>
      <c r="F669" s="37"/>
      <c r="G669" s="37"/>
      <c r="H669" s="37"/>
    </row>
    <row r="670">
      <c r="B670" s="444"/>
      <c r="F670" s="37"/>
      <c r="G670" s="37"/>
      <c r="H670" s="37"/>
    </row>
    <row r="671">
      <c r="B671" s="444"/>
      <c r="F671" s="37"/>
      <c r="G671" s="37"/>
      <c r="H671" s="37"/>
    </row>
    <row r="672">
      <c r="B672" s="444"/>
      <c r="F672" s="37"/>
      <c r="G672" s="37"/>
      <c r="H672" s="37"/>
    </row>
    <row r="673">
      <c r="B673" s="444"/>
      <c r="F673" s="37"/>
      <c r="G673" s="37"/>
      <c r="H673" s="37"/>
    </row>
    <row r="674">
      <c r="B674" s="444"/>
      <c r="F674" s="37"/>
      <c r="G674" s="37"/>
      <c r="H674" s="37"/>
    </row>
    <row r="675">
      <c r="B675" s="444"/>
      <c r="F675" s="37"/>
      <c r="G675" s="37"/>
      <c r="H675" s="37"/>
    </row>
    <row r="676">
      <c r="B676" s="444"/>
      <c r="F676" s="37"/>
      <c r="G676" s="37"/>
      <c r="H676" s="37"/>
    </row>
    <row r="677">
      <c r="B677" s="444"/>
      <c r="F677" s="37"/>
      <c r="G677" s="37"/>
      <c r="H677" s="37"/>
    </row>
    <row r="678">
      <c r="B678" s="444"/>
      <c r="F678" s="37"/>
      <c r="G678" s="37"/>
      <c r="H678" s="37"/>
    </row>
    <row r="679">
      <c r="B679" s="444"/>
      <c r="F679" s="37"/>
      <c r="G679" s="37"/>
      <c r="H679" s="37"/>
    </row>
    <row r="680">
      <c r="B680" s="444"/>
      <c r="F680" s="37"/>
      <c r="G680" s="37"/>
      <c r="H680" s="37"/>
    </row>
    <row r="681">
      <c r="B681" s="444"/>
      <c r="F681" s="37"/>
      <c r="G681" s="37"/>
      <c r="H681" s="37"/>
    </row>
    <row r="682">
      <c r="B682" s="444"/>
      <c r="F682" s="37"/>
      <c r="G682" s="37"/>
      <c r="H682" s="37"/>
    </row>
    <row r="683">
      <c r="B683" s="444"/>
      <c r="F683" s="37"/>
      <c r="G683" s="37"/>
      <c r="H683" s="37"/>
    </row>
    <row r="684">
      <c r="B684" s="444"/>
      <c r="F684" s="37"/>
      <c r="G684" s="37"/>
      <c r="H684" s="37"/>
    </row>
    <row r="685">
      <c r="B685" s="444"/>
      <c r="F685" s="37"/>
      <c r="G685" s="37"/>
      <c r="H685" s="37"/>
    </row>
    <row r="686">
      <c r="B686" s="444"/>
      <c r="F686" s="37"/>
      <c r="G686" s="37"/>
      <c r="H686" s="37"/>
    </row>
    <row r="687">
      <c r="B687" s="444"/>
      <c r="F687" s="37"/>
      <c r="G687" s="37"/>
      <c r="H687" s="37"/>
    </row>
    <row r="688">
      <c r="B688" s="444"/>
      <c r="F688" s="37"/>
      <c r="G688" s="37"/>
      <c r="H688" s="37"/>
    </row>
    <row r="689">
      <c r="B689" s="444"/>
      <c r="F689" s="37"/>
      <c r="G689" s="37"/>
      <c r="H689" s="37"/>
    </row>
    <row r="690">
      <c r="B690" s="444"/>
      <c r="F690" s="37"/>
      <c r="G690" s="37"/>
      <c r="H690" s="37"/>
    </row>
    <row r="691">
      <c r="B691" s="444"/>
      <c r="F691" s="37"/>
      <c r="G691" s="37"/>
      <c r="H691" s="37"/>
    </row>
    <row r="692">
      <c r="B692" s="444"/>
      <c r="F692" s="37"/>
      <c r="G692" s="37"/>
      <c r="H692" s="37"/>
    </row>
    <row r="693">
      <c r="B693" s="444"/>
      <c r="F693" s="37"/>
      <c r="G693" s="37"/>
      <c r="H693" s="37"/>
    </row>
    <row r="694">
      <c r="B694" s="444"/>
      <c r="F694" s="37"/>
      <c r="G694" s="37"/>
      <c r="H694" s="37"/>
    </row>
    <row r="695">
      <c r="B695" s="444"/>
      <c r="F695" s="37"/>
      <c r="G695" s="37"/>
      <c r="H695" s="37"/>
    </row>
    <row r="696">
      <c r="B696" s="444"/>
      <c r="F696" s="37"/>
      <c r="G696" s="37"/>
      <c r="H696" s="37"/>
    </row>
    <row r="697">
      <c r="B697" s="444"/>
      <c r="F697" s="37"/>
      <c r="G697" s="37"/>
      <c r="H697" s="37"/>
    </row>
    <row r="698">
      <c r="B698" s="444"/>
      <c r="F698" s="37"/>
      <c r="G698" s="37"/>
      <c r="H698" s="37"/>
    </row>
    <row r="699">
      <c r="B699" s="444"/>
      <c r="F699" s="37"/>
      <c r="G699" s="37"/>
      <c r="H699" s="37"/>
    </row>
    <row r="700">
      <c r="B700" s="444"/>
      <c r="F700" s="37"/>
      <c r="G700" s="37"/>
      <c r="H700" s="37"/>
    </row>
    <row r="701">
      <c r="B701" s="444"/>
      <c r="F701" s="37"/>
      <c r="G701" s="37"/>
      <c r="H701" s="37"/>
    </row>
    <row r="702">
      <c r="B702" s="444"/>
      <c r="F702" s="37"/>
      <c r="G702" s="37"/>
      <c r="H702" s="37"/>
    </row>
    <row r="703">
      <c r="B703" s="444"/>
      <c r="F703" s="37"/>
      <c r="G703" s="37"/>
      <c r="H703" s="37"/>
    </row>
    <row r="704">
      <c r="B704" s="444"/>
      <c r="F704" s="37"/>
      <c r="G704" s="37"/>
      <c r="H704" s="37"/>
    </row>
    <row r="705">
      <c r="B705" s="444"/>
      <c r="F705" s="37"/>
      <c r="G705" s="37"/>
      <c r="H705" s="37"/>
    </row>
    <row r="706">
      <c r="B706" s="444"/>
      <c r="F706" s="37"/>
      <c r="G706" s="37"/>
      <c r="H706" s="37"/>
    </row>
    <row r="707">
      <c r="B707" s="444"/>
      <c r="F707" s="37"/>
      <c r="G707" s="37"/>
      <c r="H707" s="37"/>
    </row>
    <row r="708">
      <c r="B708" s="444"/>
      <c r="F708" s="37"/>
      <c r="G708" s="37"/>
      <c r="H708" s="37"/>
    </row>
    <row r="709">
      <c r="B709" s="444"/>
      <c r="F709" s="37"/>
      <c r="G709" s="37"/>
      <c r="H709" s="37"/>
    </row>
    <row r="710">
      <c r="B710" s="444"/>
      <c r="F710" s="37"/>
      <c r="G710" s="37"/>
      <c r="H710" s="37"/>
    </row>
    <row r="711">
      <c r="B711" s="444"/>
      <c r="F711" s="37"/>
      <c r="G711" s="37"/>
      <c r="H711" s="37"/>
    </row>
    <row r="712">
      <c r="B712" s="444"/>
      <c r="F712" s="37"/>
      <c r="G712" s="37"/>
      <c r="H712" s="37"/>
    </row>
    <row r="713">
      <c r="B713" s="444"/>
      <c r="F713" s="37"/>
      <c r="G713" s="37"/>
      <c r="H713" s="37"/>
    </row>
    <row r="714">
      <c r="B714" s="444"/>
      <c r="F714" s="37"/>
      <c r="G714" s="37"/>
      <c r="H714" s="37"/>
    </row>
    <row r="715">
      <c r="B715" s="444"/>
      <c r="F715" s="37"/>
      <c r="G715" s="37"/>
      <c r="H715" s="37"/>
    </row>
    <row r="716">
      <c r="B716" s="444"/>
      <c r="F716" s="37"/>
      <c r="G716" s="37"/>
      <c r="H716" s="37"/>
    </row>
    <row r="717">
      <c r="B717" s="444"/>
      <c r="F717" s="37"/>
      <c r="G717" s="37"/>
      <c r="H717" s="37"/>
    </row>
    <row r="718">
      <c r="B718" s="444"/>
      <c r="F718" s="37"/>
      <c r="G718" s="37"/>
      <c r="H718" s="37"/>
    </row>
    <row r="719">
      <c r="B719" s="444"/>
      <c r="F719" s="37"/>
      <c r="G719" s="37"/>
      <c r="H719" s="37"/>
    </row>
    <row r="720">
      <c r="B720" s="444"/>
      <c r="F720" s="37"/>
      <c r="G720" s="37"/>
      <c r="H720" s="37"/>
    </row>
    <row r="721">
      <c r="B721" s="444"/>
      <c r="F721" s="37"/>
      <c r="G721" s="37"/>
      <c r="H721" s="37"/>
    </row>
    <row r="722">
      <c r="B722" s="444"/>
      <c r="F722" s="37"/>
      <c r="G722" s="37"/>
      <c r="H722" s="37"/>
    </row>
    <row r="723">
      <c r="B723" s="444"/>
      <c r="F723" s="37"/>
      <c r="G723" s="37"/>
      <c r="H723" s="37"/>
    </row>
    <row r="724">
      <c r="B724" s="444"/>
      <c r="F724" s="37"/>
      <c r="G724" s="37"/>
      <c r="H724" s="37"/>
    </row>
    <row r="725">
      <c r="B725" s="444"/>
      <c r="F725" s="37"/>
      <c r="G725" s="37"/>
      <c r="H725" s="37"/>
    </row>
    <row r="726">
      <c r="B726" s="444"/>
      <c r="F726" s="37"/>
      <c r="G726" s="37"/>
      <c r="H726" s="37"/>
    </row>
    <row r="727">
      <c r="B727" s="444"/>
      <c r="F727" s="37"/>
      <c r="G727" s="37"/>
      <c r="H727" s="37"/>
    </row>
    <row r="728">
      <c r="B728" s="444"/>
      <c r="F728" s="37"/>
      <c r="G728" s="37"/>
      <c r="H728" s="37"/>
    </row>
    <row r="729">
      <c r="B729" s="444"/>
      <c r="F729" s="37"/>
      <c r="G729" s="37"/>
      <c r="H729" s="37"/>
    </row>
    <row r="730">
      <c r="B730" s="444"/>
      <c r="F730" s="37"/>
      <c r="G730" s="37"/>
      <c r="H730" s="37"/>
    </row>
    <row r="731">
      <c r="B731" s="444"/>
      <c r="F731" s="37"/>
      <c r="G731" s="37"/>
      <c r="H731" s="37"/>
    </row>
    <row r="732">
      <c r="B732" s="444"/>
      <c r="F732" s="37"/>
      <c r="G732" s="37"/>
      <c r="H732" s="37"/>
    </row>
    <row r="733">
      <c r="B733" s="444"/>
      <c r="F733" s="37"/>
      <c r="G733" s="37"/>
      <c r="H733" s="37"/>
    </row>
    <row r="734">
      <c r="B734" s="444"/>
      <c r="F734" s="37"/>
      <c r="G734" s="37"/>
      <c r="H734" s="37"/>
    </row>
    <row r="735">
      <c r="B735" s="444"/>
      <c r="F735" s="37"/>
      <c r="G735" s="37"/>
      <c r="H735" s="37"/>
    </row>
    <row r="736">
      <c r="B736" s="444"/>
      <c r="F736" s="37"/>
      <c r="G736" s="37"/>
      <c r="H736" s="37"/>
    </row>
    <row r="737">
      <c r="B737" s="444"/>
      <c r="F737" s="37"/>
      <c r="G737" s="37"/>
      <c r="H737" s="37"/>
    </row>
    <row r="738">
      <c r="B738" s="444"/>
      <c r="F738" s="37"/>
      <c r="G738" s="37"/>
      <c r="H738" s="37"/>
    </row>
    <row r="739">
      <c r="B739" s="444"/>
      <c r="F739" s="37"/>
      <c r="G739" s="37"/>
      <c r="H739" s="37"/>
    </row>
    <row r="740">
      <c r="B740" s="444"/>
      <c r="F740" s="37"/>
      <c r="G740" s="37"/>
      <c r="H740" s="37"/>
    </row>
    <row r="741">
      <c r="B741" s="444"/>
      <c r="F741" s="37"/>
      <c r="G741" s="37"/>
      <c r="H741" s="37"/>
    </row>
    <row r="742">
      <c r="B742" s="444"/>
      <c r="F742" s="37"/>
      <c r="G742" s="37"/>
      <c r="H742" s="37"/>
    </row>
    <row r="743">
      <c r="B743" s="444"/>
      <c r="F743" s="37"/>
      <c r="G743" s="37"/>
      <c r="H743" s="37"/>
    </row>
    <row r="744">
      <c r="B744" s="444"/>
      <c r="F744" s="37"/>
      <c r="G744" s="37"/>
      <c r="H744" s="37"/>
    </row>
    <row r="745">
      <c r="B745" s="444"/>
      <c r="F745" s="37"/>
      <c r="G745" s="37"/>
      <c r="H745" s="37"/>
    </row>
    <row r="746">
      <c r="B746" s="444"/>
      <c r="F746" s="37"/>
      <c r="G746" s="37"/>
      <c r="H746" s="37"/>
    </row>
    <row r="747">
      <c r="B747" s="444"/>
      <c r="F747" s="37"/>
      <c r="G747" s="37"/>
      <c r="H747" s="37"/>
    </row>
    <row r="748">
      <c r="B748" s="444"/>
      <c r="F748" s="37"/>
      <c r="G748" s="37"/>
      <c r="H748" s="37"/>
    </row>
    <row r="749">
      <c r="B749" s="444"/>
      <c r="F749" s="37"/>
      <c r="G749" s="37"/>
      <c r="H749" s="37"/>
    </row>
    <row r="750">
      <c r="B750" s="444"/>
      <c r="F750" s="37"/>
      <c r="G750" s="37"/>
      <c r="H750" s="37"/>
    </row>
    <row r="751">
      <c r="B751" s="444"/>
      <c r="F751" s="37"/>
      <c r="G751" s="37"/>
      <c r="H751" s="37"/>
    </row>
    <row r="752">
      <c r="B752" s="444"/>
      <c r="F752" s="37"/>
      <c r="G752" s="37"/>
      <c r="H752" s="37"/>
    </row>
    <row r="753">
      <c r="B753" s="444"/>
      <c r="F753" s="37"/>
      <c r="G753" s="37"/>
      <c r="H753" s="37"/>
    </row>
    <row r="754">
      <c r="B754" s="444"/>
      <c r="F754" s="37"/>
      <c r="G754" s="37"/>
      <c r="H754" s="37"/>
    </row>
    <row r="755">
      <c r="B755" s="444"/>
      <c r="F755" s="37"/>
      <c r="G755" s="37"/>
      <c r="H755" s="37"/>
    </row>
    <row r="756">
      <c r="B756" s="444"/>
      <c r="F756" s="37"/>
      <c r="G756" s="37"/>
      <c r="H756" s="37"/>
    </row>
    <row r="757">
      <c r="B757" s="444"/>
      <c r="F757" s="37"/>
      <c r="G757" s="37"/>
      <c r="H757" s="37"/>
    </row>
    <row r="758">
      <c r="B758" s="444"/>
      <c r="F758" s="37"/>
      <c r="G758" s="37"/>
      <c r="H758" s="37"/>
    </row>
    <row r="759">
      <c r="B759" s="444"/>
      <c r="F759" s="37"/>
      <c r="G759" s="37"/>
      <c r="H759" s="37"/>
    </row>
    <row r="760">
      <c r="B760" s="444"/>
      <c r="F760" s="37"/>
      <c r="G760" s="37"/>
      <c r="H760" s="37"/>
    </row>
    <row r="761">
      <c r="B761" s="444"/>
      <c r="F761" s="37"/>
      <c r="G761" s="37"/>
      <c r="H761" s="37"/>
    </row>
    <row r="762">
      <c r="B762" s="444"/>
      <c r="F762" s="37"/>
      <c r="G762" s="37"/>
      <c r="H762" s="37"/>
    </row>
    <row r="763">
      <c r="B763" s="444"/>
      <c r="F763" s="37"/>
      <c r="G763" s="37"/>
      <c r="H763" s="37"/>
    </row>
    <row r="764">
      <c r="B764" s="444"/>
      <c r="F764" s="37"/>
      <c r="G764" s="37"/>
      <c r="H764" s="37"/>
    </row>
    <row r="765">
      <c r="B765" s="444"/>
      <c r="F765" s="37"/>
      <c r="G765" s="37"/>
      <c r="H765" s="37"/>
    </row>
    <row r="766">
      <c r="B766" s="444"/>
      <c r="F766" s="37"/>
      <c r="G766" s="37"/>
      <c r="H766" s="37"/>
    </row>
    <row r="767">
      <c r="B767" s="444"/>
      <c r="F767" s="37"/>
      <c r="G767" s="37"/>
      <c r="H767" s="37"/>
    </row>
    <row r="768">
      <c r="B768" s="444"/>
      <c r="F768" s="37"/>
      <c r="G768" s="37"/>
      <c r="H768" s="37"/>
    </row>
    <row r="769">
      <c r="B769" s="444"/>
      <c r="F769" s="37"/>
      <c r="G769" s="37"/>
      <c r="H769" s="37"/>
    </row>
    <row r="770">
      <c r="B770" s="444"/>
      <c r="F770" s="37"/>
      <c r="G770" s="37"/>
      <c r="H770" s="37"/>
    </row>
    <row r="771">
      <c r="B771" s="444"/>
      <c r="F771" s="37"/>
      <c r="G771" s="37"/>
      <c r="H771" s="37"/>
    </row>
    <row r="772">
      <c r="B772" s="444"/>
      <c r="F772" s="37"/>
      <c r="G772" s="37"/>
      <c r="H772" s="37"/>
    </row>
    <row r="773">
      <c r="B773" s="444"/>
      <c r="F773" s="37"/>
      <c r="G773" s="37"/>
      <c r="H773" s="37"/>
    </row>
    <row r="774">
      <c r="B774" s="444"/>
      <c r="F774" s="37"/>
      <c r="G774" s="37"/>
      <c r="H774" s="37"/>
    </row>
    <row r="775">
      <c r="B775" s="444"/>
      <c r="F775" s="37"/>
      <c r="G775" s="37"/>
      <c r="H775" s="37"/>
    </row>
    <row r="776">
      <c r="B776" s="444"/>
      <c r="F776" s="37"/>
      <c r="G776" s="37"/>
      <c r="H776" s="37"/>
    </row>
    <row r="777">
      <c r="B777" s="444"/>
      <c r="F777" s="37"/>
      <c r="G777" s="37"/>
      <c r="H777" s="37"/>
    </row>
    <row r="778">
      <c r="B778" s="444"/>
      <c r="F778" s="37"/>
      <c r="G778" s="37"/>
      <c r="H778" s="37"/>
    </row>
    <row r="779">
      <c r="B779" s="444"/>
      <c r="F779" s="37"/>
      <c r="G779" s="37"/>
      <c r="H779" s="37"/>
    </row>
    <row r="780">
      <c r="B780" s="444"/>
      <c r="F780" s="37"/>
      <c r="G780" s="37"/>
      <c r="H780" s="37"/>
    </row>
    <row r="781">
      <c r="B781" s="444"/>
      <c r="F781" s="37"/>
      <c r="G781" s="37"/>
      <c r="H781" s="37"/>
    </row>
    <row r="782">
      <c r="B782" s="444"/>
      <c r="F782" s="37"/>
      <c r="G782" s="37"/>
      <c r="H782" s="37"/>
    </row>
    <row r="783">
      <c r="B783" s="444"/>
      <c r="F783" s="37"/>
      <c r="G783" s="37"/>
      <c r="H783" s="37"/>
    </row>
    <row r="784">
      <c r="B784" s="444"/>
      <c r="F784" s="37"/>
      <c r="G784" s="37"/>
      <c r="H784" s="37"/>
    </row>
    <row r="785">
      <c r="B785" s="444"/>
      <c r="F785" s="37"/>
      <c r="G785" s="37"/>
      <c r="H785" s="37"/>
    </row>
    <row r="786">
      <c r="B786" s="444"/>
      <c r="F786" s="37"/>
      <c r="G786" s="37"/>
      <c r="H786" s="37"/>
    </row>
    <row r="787">
      <c r="B787" s="444"/>
      <c r="F787" s="37"/>
      <c r="G787" s="37"/>
      <c r="H787" s="37"/>
    </row>
    <row r="788">
      <c r="B788" s="444"/>
      <c r="F788" s="37"/>
      <c r="G788" s="37"/>
      <c r="H788" s="37"/>
    </row>
    <row r="789">
      <c r="B789" s="444"/>
      <c r="F789" s="37"/>
      <c r="G789" s="37"/>
      <c r="H789" s="37"/>
    </row>
    <row r="790">
      <c r="B790" s="444"/>
      <c r="F790" s="37"/>
      <c r="G790" s="37"/>
      <c r="H790" s="37"/>
    </row>
    <row r="791">
      <c r="B791" s="444"/>
      <c r="F791" s="37"/>
      <c r="G791" s="37"/>
      <c r="H791" s="37"/>
    </row>
    <row r="792">
      <c r="B792" s="444"/>
      <c r="F792" s="37"/>
      <c r="G792" s="37"/>
      <c r="H792" s="37"/>
    </row>
    <row r="793">
      <c r="B793" s="444"/>
      <c r="F793" s="37"/>
      <c r="G793" s="37"/>
      <c r="H793" s="37"/>
    </row>
    <row r="794">
      <c r="B794" s="444"/>
      <c r="F794" s="37"/>
      <c r="G794" s="37"/>
      <c r="H794" s="37"/>
    </row>
    <row r="795">
      <c r="B795" s="444"/>
      <c r="F795" s="37"/>
      <c r="G795" s="37"/>
      <c r="H795" s="37"/>
    </row>
    <row r="796">
      <c r="B796" s="444"/>
      <c r="F796" s="37"/>
      <c r="G796" s="37"/>
      <c r="H796" s="37"/>
    </row>
    <row r="797">
      <c r="B797" s="444"/>
      <c r="F797" s="37"/>
      <c r="G797" s="37"/>
      <c r="H797" s="37"/>
    </row>
    <row r="798">
      <c r="B798" s="444"/>
      <c r="F798" s="37"/>
      <c r="G798" s="37"/>
      <c r="H798" s="37"/>
    </row>
    <row r="799">
      <c r="B799" s="444"/>
      <c r="F799" s="37"/>
      <c r="G799" s="37"/>
      <c r="H799" s="37"/>
    </row>
    <row r="800">
      <c r="B800" s="444"/>
      <c r="F800" s="37"/>
      <c r="G800" s="37"/>
      <c r="H800" s="37"/>
    </row>
    <row r="801">
      <c r="B801" s="444"/>
      <c r="F801" s="37"/>
      <c r="G801" s="37"/>
      <c r="H801" s="37"/>
    </row>
    <row r="802">
      <c r="B802" s="444"/>
      <c r="F802" s="37"/>
      <c r="G802" s="37"/>
      <c r="H802" s="37"/>
    </row>
    <row r="803">
      <c r="B803" s="444"/>
      <c r="F803" s="37"/>
      <c r="G803" s="37"/>
      <c r="H803" s="37"/>
    </row>
    <row r="804">
      <c r="B804" s="444"/>
      <c r="F804" s="37"/>
      <c r="G804" s="37"/>
      <c r="H804" s="37"/>
    </row>
    <row r="805">
      <c r="B805" s="444"/>
      <c r="F805" s="37"/>
      <c r="G805" s="37"/>
      <c r="H805" s="37"/>
    </row>
    <row r="806">
      <c r="B806" s="444"/>
      <c r="F806" s="37"/>
      <c r="G806" s="37"/>
      <c r="H806" s="37"/>
    </row>
    <row r="807">
      <c r="B807" s="444"/>
      <c r="F807" s="37"/>
      <c r="G807" s="37"/>
      <c r="H807" s="37"/>
    </row>
    <row r="808">
      <c r="B808" s="444"/>
      <c r="F808" s="37"/>
      <c r="G808" s="37"/>
      <c r="H808" s="37"/>
    </row>
    <row r="809">
      <c r="B809" s="444"/>
      <c r="F809" s="37"/>
      <c r="G809" s="37"/>
      <c r="H809" s="37"/>
    </row>
    <row r="810">
      <c r="B810" s="444"/>
      <c r="F810" s="37"/>
      <c r="G810" s="37"/>
      <c r="H810" s="37"/>
    </row>
    <row r="811">
      <c r="B811" s="444"/>
      <c r="F811" s="37"/>
      <c r="G811" s="37"/>
      <c r="H811" s="37"/>
    </row>
    <row r="812">
      <c r="B812" s="444"/>
      <c r="F812" s="37"/>
      <c r="G812" s="37"/>
      <c r="H812" s="37"/>
    </row>
    <row r="813">
      <c r="B813" s="444"/>
      <c r="F813" s="37"/>
      <c r="G813" s="37"/>
      <c r="H813" s="37"/>
    </row>
    <row r="814">
      <c r="B814" s="444"/>
      <c r="F814" s="37"/>
      <c r="G814" s="37"/>
      <c r="H814" s="37"/>
    </row>
    <row r="815">
      <c r="B815" s="444"/>
      <c r="F815" s="37"/>
      <c r="G815" s="37"/>
      <c r="H815" s="37"/>
    </row>
    <row r="816">
      <c r="B816" s="444"/>
      <c r="F816" s="37"/>
      <c r="G816" s="37"/>
      <c r="H816" s="37"/>
    </row>
    <row r="817">
      <c r="B817" s="444"/>
      <c r="F817" s="37"/>
      <c r="G817" s="37"/>
      <c r="H817" s="37"/>
    </row>
    <row r="818">
      <c r="B818" s="444"/>
      <c r="F818" s="37"/>
      <c r="G818" s="37"/>
      <c r="H818" s="37"/>
    </row>
    <row r="819">
      <c r="B819" s="444"/>
      <c r="F819" s="37"/>
      <c r="G819" s="37"/>
      <c r="H819" s="37"/>
    </row>
    <row r="820">
      <c r="B820" s="444"/>
      <c r="F820" s="37"/>
      <c r="G820" s="37"/>
      <c r="H820" s="37"/>
    </row>
    <row r="821">
      <c r="B821" s="444"/>
      <c r="F821" s="37"/>
      <c r="G821" s="37"/>
      <c r="H821" s="37"/>
    </row>
    <row r="822">
      <c r="B822" s="444"/>
      <c r="F822" s="37"/>
      <c r="G822" s="37"/>
      <c r="H822" s="37"/>
    </row>
    <row r="823">
      <c r="B823" s="444"/>
      <c r="F823" s="37"/>
      <c r="G823" s="37"/>
      <c r="H823" s="37"/>
    </row>
    <row r="824">
      <c r="B824" s="444"/>
      <c r="F824" s="37"/>
      <c r="G824" s="37"/>
      <c r="H824" s="37"/>
    </row>
    <row r="825">
      <c r="B825" s="444"/>
      <c r="F825" s="37"/>
      <c r="G825" s="37"/>
      <c r="H825" s="37"/>
    </row>
    <row r="826">
      <c r="B826" s="444"/>
      <c r="F826" s="37"/>
      <c r="G826" s="37"/>
      <c r="H826" s="37"/>
    </row>
    <row r="827">
      <c r="B827" s="444"/>
      <c r="F827" s="37"/>
      <c r="G827" s="37"/>
      <c r="H827" s="37"/>
    </row>
    <row r="828">
      <c r="B828" s="444"/>
      <c r="F828" s="37"/>
      <c r="G828" s="37"/>
      <c r="H828" s="37"/>
    </row>
    <row r="829">
      <c r="B829" s="444"/>
      <c r="F829" s="37"/>
      <c r="G829" s="37"/>
      <c r="H829" s="37"/>
    </row>
    <row r="830">
      <c r="B830" s="444"/>
      <c r="F830" s="37"/>
      <c r="G830" s="37"/>
      <c r="H830" s="37"/>
    </row>
    <row r="831">
      <c r="B831" s="444"/>
      <c r="F831" s="37"/>
      <c r="G831" s="37"/>
      <c r="H831" s="37"/>
    </row>
    <row r="832">
      <c r="B832" s="444"/>
      <c r="F832" s="37"/>
      <c r="G832" s="37"/>
      <c r="H832" s="37"/>
    </row>
    <row r="833">
      <c r="B833" s="444"/>
      <c r="F833" s="37"/>
      <c r="G833" s="37"/>
      <c r="H833" s="37"/>
    </row>
    <row r="834">
      <c r="B834" s="444"/>
      <c r="F834" s="37"/>
      <c r="G834" s="37"/>
      <c r="H834" s="37"/>
    </row>
    <row r="835">
      <c r="B835" s="444"/>
      <c r="F835" s="37"/>
      <c r="G835" s="37"/>
      <c r="H835" s="37"/>
    </row>
    <row r="836">
      <c r="B836" s="444"/>
      <c r="F836" s="37"/>
      <c r="G836" s="37"/>
      <c r="H836" s="37"/>
    </row>
    <row r="837">
      <c r="B837" s="444"/>
      <c r="F837" s="37"/>
      <c r="G837" s="37"/>
      <c r="H837" s="37"/>
    </row>
    <row r="838">
      <c r="B838" s="444"/>
      <c r="F838" s="37"/>
      <c r="G838" s="37"/>
      <c r="H838" s="37"/>
    </row>
    <row r="839">
      <c r="B839" s="444"/>
      <c r="F839" s="37"/>
      <c r="G839" s="37"/>
      <c r="H839" s="37"/>
    </row>
    <row r="840">
      <c r="B840" s="444"/>
      <c r="F840" s="37"/>
      <c r="G840" s="37"/>
      <c r="H840" s="37"/>
    </row>
    <row r="841">
      <c r="B841" s="444"/>
      <c r="F841" s="37"/>
      <c r="G841" s="37"/>
      <c r="H841" s="37"/>
    </row>
    <row r="842">
      <c r="B842" s="444"/>
      <c r="F842" s="37"/>
      <c r="G842" s="37"/>
      <c r="H842" s="37"/>
    </row>
    <row r="843">
      <c r="B843" s="444"/>
      <c r="F843" s="37"/>
      <c r="G843" s="37"/>
      <c r="H843" s="37"/>
    </row>
    <row r="844">
      <c r="B844" s="444"/>
      <c r="F844" s="37"/>
      <c r="G844" s="37"/>
      <c r="H844" s="37"/>
    </row>
    <row r="845">
      <c r="B845" s="444"/>
      <c r="F845" s="37"/>
      <c r="G845" s="37"/>
      <c r="H845" s="37"/>
    </row>
    <row r="846">
      <c r="B846" s="444"/>
      <c r="F846" s="37"/>
      <c r="G846" s="37"/>
      <c r="H846" s="37"/>
    </row>
    <row r="847">
      <c r="B847" s="444"/>
      <c r="F847" s="37"/>
      <c r="G847" s="37"/>
      <c r="H847" s="37"/>
    </row>
    <row r="848">
      <c r="B848" s="444"/>
      <c r="F848" s="37"/>
      <c r="G848" s="37"/>
      <c r="H848" s="37"/>
    </row>
    <row r="849">
      <c r="B849" s="444"/>
      <c r="F849" s="37"/>
      <c r="G849" s="37"/>
      <c r="H849" s="37"/>
    </row>
    <row r="850">
      <c r="B850" s="444"/>
      <c r="F850" s="37"/>
      <c r="G850" s="37"/>
      <c r="H850" s="37"/>
    </row>
    <row r="851">
      <c r="B851" s="444"/>
      <c r="F851" s="37"/>
      <c r="G851" s="37"/>
      <c r="H851" s="37"/>
    </row>
    <row r="852">
      <c r="B852" s="444"/>
      <c r="F852" s="37"/>
      <c r="G852" s="37"/>
      <c r="H852" s="37"/>
    </row>
    <row r="853">
      <c r="B853" s="444"/>
      <c r="F853" s="37"/>
      <c r="G853" s="37"/>
      <c r="H853" s="37"/>
    </row>
    <row r="854">
      <c r="B854" s="444"/>
      <c r="F854" s="37"/>
      <c r="G854" s="37"/>
      <c r="H854" s="37"/>
    </row>
    <row r="855">
      <c r="B855" s="444"/>
      <c r="F855" s="37"/>
      <c r="G855" s="37"/>
      <c r="H855" s="37"/>
    </row>
    <row r="856">
      <c r="B856" s="444"/>
      <c r="F856" s="37"/>
      <c r="G856" s="37"/>
      <c r="H856" s="37"/>
    </row>
    <row r="857">
      <c r="B857" s="444"/>
      <c r="F857" s="37"/>
      <c r="G857" s="37"/>
      <c r="H857" s="37"/>
    </row>
    <row r="858">
      <c r="B858" s="444"/>
      <c r="F858" s="37"/>
      <c r="G858" s="37"/>
      <c r="H858" s="37"/>
    </row>
    <row r="859">
      <c r="B859" s="444"/>
      <c r="F859" s="37"/>
      <c r="G859" s="37"/>
      <c r="H859" s="37"/>
    </row>
    <row r="860">
      <c r="B860" s="444"/>
      <c r="F860" s="37"/>
      <c r="G860" s="37"/>
      <c r="H860" s="37"/>
    </row>
    <row r="861">
      <c r="B861" s="444"/>
      <c r="F861" s="37"/>
      <c r="G861" s="37"/>
      <c r="H861" s="37"/>
    </row>
    <row r="862">
      <c r="B862" s="444"/>
      <c r="F862" s="37"/>
      <c r="G862" s="37"/>
      <c r="H862" s="37"/>
    </row>
    <row r="863">
      <c r="B863" s="444"/>
      <c r="F863" s="37"/>
      <c r="G863" s="37"/>
      <c r="H863" s="37"/>
    </row>
    <row r="864">
      <c r="B864" s="444"/>
      <c r="F864" s="37"/>
      <c r="G864" s="37"/>
      <c r="H864" s="37"/>
    </row>
    <row r="865">
      <c r="B865" s="444"/>
      <c r="F865" s="37"/>
      <c r="G865" s="37"/>
      <c r="H865" s="37"/>
    </row>
    <row r="866">
      <c r="B866" s="444"/>
      <c r="F866" s="37"/>
      <c r="G866" s="37"/>
      <c r="H866" s="37"/>
    </row>
    <row r="867">
      <c r="B867" s="444"/>
      <c r="F867" s="37"/>
      <c r="G867" s="37"/>
      <c r="H867" s="37"/>
    </row>
    <row r="868">
      <c r="B868" s="444"/>
      <c r="F868" s="37"/>
      <c r="G868" s="37"/>
      <c r="H868" s="37"/>
    </row>
    <row r="869">
      <c r="B869" s="444"/>
      <c r="F869" s="37"/>
      <c r="G869" s="37"/>
      <c r="H869" s="37"/>
    </row>
    <row r="870">
      <c r="B870" s="444"/>
      <c r="F870" s="37"/>
      <c r="G870" s="37"/>
      <c r="H870" s="37"/>
    </row>
    <row r="871">
      <c r="B871" s="444"/>
      <c r="F871" s="37"/>
      <c r="G871" s="37"/>
      <c r="H871" s="37"/>
    </row>
    <row r="872">
      <c r="B872" s="444"/>
      <c r="F872" s="37"/>
      <c r="G872" s="37"/>
      <c r="H872" s="37"/>
    </row>
    <row r="873">
      <c r="B873" s="444"/>
      <c r="F873" s="37"/>
      <c r="G873" s="37"/>
      <c r="H873" s="37"/>
    </row>
    <row r="874">
      <c r="B874" s="444"/>
      <c r="F874" s="37"/>
      <c r="G874" s="37"/>
      <c r="H874" s="37"/>
    </row>
    <row r="875">
      <c r="B875" s="444"/>
      <c r="F875" s="37"/>
      <c r="G875" s="37"/>
      <c r="H875" s="37"/>
    </row>
    <row r="876">
      <c r="B876" s="444"/>
      <c r="F876" s="37"/>
      <c r="G876" s="37"/>
      <c r="H876" s="37"/>
    </row>
    <row r="877">
      <c r="B877" s="444"/>
      <c r="F877" s="37"/>
      <c r="G877" s="37"/>
      <c r="H877" s="37"/>
    </row>
    <row r="878">
      <c r="B878" s="444"/>
      <c r="F878" s="37"/>
      <c r="G878" s="37"/>
      <c r="H878" s="37"/>
    </row>
    <row r="879">
      <c r="B879" s="444"/>
      <c r="F879" s="37"/>
      <c r="G879" s="37"/>
      <c r="H879" s="37"/>
    </row>
    <row r="880">
      <c r="B880" s="444"/>
      <c r="F880" s="37"/>
      <c r="G880" s="37"/>
      <c r="H880" s="37"/>
    </row>
    <row r="881">
      <c r="B881" s="444"/>
      <c r="F881" s="37"/>
      <c r="G881" s="37"/>
      <c r="H881" s="37"/>
    </row>
    <row r="882">
      <c r="B882" s="444"/>
      <c r="F882" s="37"/>
      <c r="G882" s="37"/>
      <c r="H882" s="37"/>
    </row>
    <row r="883">
      <c r="B883" s="444"/>
      <c r="F883" s="37"/>
      <c r="G883" s="37"/>
      <c r="H883" s="37"/>
    </row>
    <row r="884">
      <c r="B884" s="444"/>
      <c r="F884" s="37"/>
      <c r="G884" s="37"/>
      <c r="H884" s="37"/>
    </row>
    <row r="885">
      <c r="B885" s="444"/>
      <c r="F885" s="37"/>
      <c r="G885" s="37"/>
      <c r="H885" s="37"/>
    </row>
    <row r="886">
      <c r="B886" s="444"/>
      <c r="F886" s="37"/>
      <c r="G886" s="37"/>
      <c r="H886" s="37"/>
    </row>
    <row r="887">
      <c r="B887" s="444"/>
      <c r="F887" s="37"/>
      <c r="G887" s="37"/>
      <c r="H887" s="37"/>
    </row>
    <row r="888">
      <c r="B888" s="444"/>
      <c r="F888" s="37"/>
      <c r="G888" s="37"/>
      <c r="H888" s="37"/>
    </row>
    <row r="889">
      <c r="B889" s="444"/>
      <c r="F889" s="37"/>
      <c r="G889" s="37"/>
      <c r="H889" s="37"/>
    </row>
    <row r="890">
      <c r="B890" s="444"/>
      <c r="F890" s="37"/>
      <c r="G890" s="37"/>
      <c r="H890" s="37"/>
    </row>
    <row r="891">
      <c r="B891" s="444"/>
      <c r="F891" s="37"/>
      <c r="G891" s="37"/>
      <c r="H891" s="37"/>
    </row>
    <row r="892">
      <c r="B892" s="444"/>
      <c r="F892" s="37"/>
      <c r="G892" s="37"/>
      <c r="H892" s="37"/>
    </row>
    <row r="893">
      <c r="B893" s="444"/>
      <c r="F893" s="37"/>
      <c r="G893" s="37"/>
      <c r="H893" s="37"/>
    </row>
    <row r="894">
      <c r="B894" s="444"/>
      <c r="F894" s="37"/>
      <c r="G894" s="37"/>
      <c r="H894" s="37"/>
    </row>
    <row r="895">
      <c r="B895" s="444"/>
      <c r="F895" s="37"/>
      <c r="G895" s="37"/>
      <c r="H895" s="37"/>
    </row>
    <row r="896">
      <c r="B896" s="444"/>
      <c r="F896" s="37"/>
      <c r="G896" s="37"/>
      <c r="H896" s="37"/>
    </row>
    <row r="897">
      <c r="B897" s="444"/>
      <c r="F897" s="37"/>
      <c r="G897" s="37"/>
      <c r="H897" s="37"/>
    </row>
    <row r="898">
      <c r="B898" s="444"/>
      <c r="F898" s="37"/>
      <c r="G898" s="37"/>
      <c r="H898" s="37"/>
    </row>
    <row r="899">
      <c r="B899" s="444"/>
      <c r="F899" s="37"/>
      <c r="G899" s="37"/>
      <c r="H899" s="37"/>
    </row>
    <row r="900">
      <c r="B900" s="444"/>
      <c r="F900" s="37"/>
      <c r="G900" s="37"/>
      <c r="H900" s="37"/>
    </row>
    <row r="901">
      <c r="B901" s="444"/>
      <c r="F901" s="37"/>
      <c r="G901" s="37"/>
      <c r="H901" s="37"/>
    </row>
    <row r="902">
      <c r="B902" s="444"/>
      <c r="F902" s="37"/>
      <c r="G902" s="37"/>
      <c r="H902" s="37"/>
    </row>
    <row r="903">
      <c r="B903" s="444"/>
      <c r="F903" s="37"/>
      <c r="G903" s="37"/>
      <c r="H903" s="37"/>
    </row>
    <row r="904">
      <c r="B904" s="444"/>
      <c r="F904" s="37"/>
      <c r="G904" s="37"/>
      <c r="H904" s="37"/>
    </row>
    <row r="905">
      <c r="B905" s="444"/>
      <c r="F905" s="37"/>
      <c r="G905" s="37"/>
      <c r="H905" s="37"/>
    </row>
    <row r="906">
      <c r="B906" s="444"/>
      <c r="F906" s="37"/>
      <c r="G906" s="37"/>
      <c r="H906" s="37"/>
    </row>
    <row r="907">
      <c r="B907" s="444"/>
      <c r="F907" s="37"/>
      <c r="G907" s="37"/>
      <c r="H907" s="37"/>
    </row>
    <row r="908">
      <c r="B908" s="444"/>
      <c r="F908" s="37"/>
      <c r="G908" s="37"/>
      <c r="H908" s="37"/>
    </row>
    <row r="909">
      <c r="B909" s="444"/>
      <c r="F909" s="37"/>
      <c r="G909" s="37"/>
      <c r="H909" s="37"/>
    </row>
    <row r="910">
      <c r="B910" s="444"/>
      <c r="F910" s="37"/>
      <c r="G910" s="37"/>
      <c r="H910" s="37"/>
    </row>
    <row r="911">
      <c r="B911" s="444"/>
      <c r="F911" s="37"/>
      <c r="G911" s="37"/>
      <c r="H911" s="37"/>
    </row>
    <row r="912">
      <c r="B912" s="444"/>
      <c r="F912" s="37"/>
      <c r="G912" s="37"/>
      <c r="H912" s="37"/>
    </row>
    <row r="913">
      <c r="B913" s="444"/>
      <c r="F913" s="37"/>
      <c r="G913" s="37"/>
      <c r="H913" s="37"/>
    </row>
    <row r="914">
      <c r="B914" s="444"/>
      <c r="F914" s="37"/>
      <c r="G914" s="37"/>
      <c r="H914" s="37"/>
    </row>
    <row r="915">
      <c r="B915" s="444"/>
      <c r="F915" s="37"/>
      <c r="G915" s="37"/>
      <c r="H915" s="37"/>
    </row>
    <row r="916">
      <c r="B916" s="444"/>
      <c r="F916" s="37"/>
      <c r="G916" s="37"/>
      <c r="H916" s="37"/>
    </row>
    <row r="917">
      <c r="B917" s="444"/>
      <c r="F917" s="37"/>
      <c r="G917" s="37"/>
      <c r="H917" s="37"/>
    </row>
    <row r="918">
      <c r="B918" s="444"/>
      <c r="F918" s="37"/>
      <c r="G918" s="37"/>
      <c r="H918" s="37"/>
    </row>
    <row r="919">
      <c r="B919" s="444"/>
      <c r="F919" s="37"/>
      <c r="G919" s="37"/>
      <c r="H919" s="37"/>
    </row>
    <row r="920">
      <c r="B920" s="444"/>
      <c r="F920" s="37"/>
      <c r="G920" s="37"/>
      <c r="H920" s="37"/>
    </row>
    <row r="921">
      <c r="B921" s="444"/>
      <c r="F921" s="37"/>
      <c r="G921" s="37"/>
      <c r="H921" s="37"/>
    </row>
    <row r="922">
      <c r="B922" s="444"/>
      <c r="F922" s="37"/>
      <c r="G922" s="37"/>
      <c r="H922" s="37"/>
    </row>
    <row r="923">
      <c r="B923" s="444"/>
      <c r="F923" s="37"/>
      <c r="G923" s="37"/>
      <c r="H923" s="37"/>
    </row>
    <row r="924">
      <c r="B924" s="444"/>
      <c r="F924" s="37"/>
      <c r="G924" s="37"/>
      <c r="H924" s="37"/>
    </row>
    <row r="925">
      <c r="B925" s="444"/>
      <c r="F925" s="37"/>
      <c r="G925" s="37"/>
      <c r="H925" s="37"/>
    </row>
    <row r="926">
      <c r="B926" s="444"/>
      <c r="F926" s="37"/>
      <c r="G926" s="37"/>
      <c r="H926" s="37"/>
    </row>
    <row r="927">
      <c r="B927" s="444"/>
      <c r="F927" s="37"/>
      <c r="G927" s="37"/>
      <c r="H927" s="37"/>
    </row>
    <row r="928">
      <c r="B928" s="444"/>
      <c r="F928" s="37"/>
      <c r="G928" s="37"/>
      <c r="H928" s="37"/>
    </row>
    <row r="929">
      <c r="B929" s="444"/>
      <c r="F929" s="37"/>
      <c r="G929" s="37"/>
      <c r="H929" s="37"/>
    </row>
    <row r="930">
      <c r="B930" s="444"/>
      <c r="F930" s="37"/>
      <c r="G930" s="37"/>
      <c r="H930" s="37"/>
    </row>
    <row r="931">
      <c r="B931" s="444"/>
      <c r="F931" s="37"/>
      <c r="G931" s="37"/>
      <c r="H931" s="37"/>
    </row>
    <row r="932">
      <c r="B932" s="444"/>
      <c r="F932" s="37"/>
      <c r="G932" s="37"/>
      <c r="H932" s="37"/>
    </row>
    <row r="933">
      <c r="B933" s="444"/>
      <c r="F933" s="37"/>
      <c r="G933" s="37"/>
      <c r="H933" s="37"/>
    </row>
    <row r="934">
      <c r="B934" s="444"/>
      <c r="F934" s="37"/>
      <c r="G934" s="37"/>
      <c r="H934" s="37"/>
    </row>
    <row r="935">
      <c r="B935" s="444"/>
      <c r="F935" s="37"/>
      <c r="G935" s="37"/>
      <c r="H935" s="37"/>
    </row>
    <row r="936">
      <c r="B936" s="444"/>
      <c r="F936" s="37"/>
      <c r="G936" s="37"/>
      <c r="H936" s="37"/>
    </row>
    <row r="937">
      <c r="B937" s="444"/>
      <c r="F937" s="37"/>
      <c r="G937" s="37"/>
      <c r="H937" s="37"/>
    </row>
    <row r="938">
      <c r="B938" s="444"/>
      <c r="F938" s="37"/>
      <c r="G938" s="37"/>
      <c r="H938" s="37"/>
    </row>
    <row r="939">
      <c r="B939" s="444"/>
      <c r="F939" s="37"/>
      <c r="G939" s="37"/>
      <c r="H939" s="37"/>
    </row>
    <row r="940">
      <c r="B940" s="444"/>
      <c r="F940" s="37"/>
      <c r="G940" s="37"/>
      <c r="H940" s="37"/>
    </row>
    <row r="941">
      <c r="B941" s="444"/>
      <c r="F941" s="37"/>
      <c r="G941" s="37"/>
      <c r="H941" s="37"/>
    </row>
    <row r="942">
      <c r="B942" s="444"/>
      <c r="F942" s="37"/>
      <c r="G942" s="37"/>
      <c r="H942" s="37"/>
    </row>
    <row r="943">
      <c r="B943" s="444"/>
      <c r="F943" s="37"/>
      <c r="G943" s="37"/>
      <c r="H943" s="37"/>
    </row>
    <row r="944">
      <c r="B944" s="444"/>
      <c r="F944" s="37"/>
      <c r="G944" s="37"/>
      <c r="H944" s="37"/>
    </row>
    <row r="945">
      <c r="B945" s="444"/>
      <c r="F945" s="37"/>
      <c r="G945" s="37"/>
      <c r="H945" s="37"/>
    </row>
    <row r="946">
      <c r="B946" s="444"/>
      <c r="F946" s="37"/>
      <c r="G946" s="37"/>
      <c r="H946" s="37"/>
    </row>
    <row r="947">
      <c r="B947" s="444"/>
      <c r="F947" s="37"/>
      <c r="G947" s="37"/>
      <c r="H947" s="37"/>
    </row>
    <row r="948">
      <c r="B948" s="444"/>
      <c r="F948" s="37"/>
      <c r="G948" s="37"/>
      <c r="H948" s="37"/>
    </row>
    <row r="949">
      <c r="B949" s="444"/>
      <c r="F949" s="37"/>
      <c r="G949" s="37"/>
      <c r="H949" s="37"/>
    </row>
    <row r="950">
      <c r="B950" s="444"/>
      <c r="F950" s="37"/>
      <c r="G950" s="37"/>
      <c r="H950" s="37"/>
    </row>
    <row r="951">
      <c r="B951" s="444"/>
      <c r="F951" s="37"/>
      <c r="G951" s="37"/>
      <c r="H951" s="37"/>
    </row>
    <row r="952">
      <c r="B952" s="444"/>
      <c r="F952" s="37"/>
      <c r="G952" s="37"/>
      <c r="H952" s="37"/>
    </row>
    <row r="953">
      <c r="B953" s="444"/>
      <c r="F953" s="37"/>
      <c r="G953" s="37"/>
      <c r="H953" s="37"/>
    </row>
    <row r="954">
      <c r="B954" s="444"/>
      <c r="F954" s="37"/>
      <c r="G954" s="37"/>
      <c r="H954" s="37"/>
    </row>
    <row r="955">
      <c r="B955" s="444"/>
      <c r="F955" s="37"/>
      <c r="G955" s="37"/>
      <c r="H955" s="37"/>
    </row>
    <row r="956">
      <c r="B956" s="444"/>
      <c r="F956" s="37"/>
      <c r="G956" s="37"/>
      <c r="H956" s="37"/>
    </row>
    <row r="957">
      <c r="B957" s="444"/>
      <c r="F957" s="37"/>
      <c r="G957" s="37"/>
      <c r="H957" s="37"/>
    </row>
    <row r="958">
      <c r="B958" s="444"/>
      <c r="F958" s="37"/>
      <c r="G958" s="37"/>
      <c r="H958" s="37"/>
    </row>
    <row r="959">
      <c r="B959" s="444"/>
      <c r="F959" s="37"/>
      <c r="G959" s="37"/>
      <c r="H959" s="37"/>
    </row>
    <row r="960">
      <c r="B960" s="444"/>
      <c r="F960" s="37"/>
      <c r="G960" s="37"/>
      <c r="H960" s="37"/>
    </row>
    <row r="961">
      <c r="B961" s="444"/>
      <c r="F961" s="37"/>
      <c r="G961" s="37"/>
      <c r="H961" s="37"/>
    </row>
    <row r="962">
      <c r="B962" s="444"/>
      <c r="F962" s="37"/>
      <c r="G962" s="37"/>
      <c r="H962" s="37"/>
    </row>
    <row r="963">
      <c r="B963" s="444"/>
      <c r="F963" s="37"/>
      <c r="G963" s="37"/>
      <c r="H963" s="37"/>
    </row>
    <row r="964">
      <c r="B964" s="444"/>
      <c r="F964" s="37"/>
      <c r="G964" s="37"/>
      <c r="H964" s="37"/>
    </row>
    <row r="965">
      <c r="B965" s="444"/>
      <c r="F965" s="37"/>
      <c r="G965" s="37"/>
      <c r="H965" s="37"/>
    </row>
    <row r="966">
      <c r="B966" s="444"/>
      <c r="F966" s="37"/>
      <c r="G966" s="37"/>
      <c r="H966" s="37"/>
    </row>
    <row r="967">
      <c r="B967" s="444"/>
      <c r="F967" s="37"/>
      <c r="G967" s="37"/>
      <c r="H967" s="37"/>
    </row>
    <row r="968">
      <c r="B968" s="444"/>
      <c r="F968" s="37"/>
      <c r="G968" s="37"/>
      <c r="H968" s="37"/>
    </row>
    <row r="969">
      <c r="B969" s="444"/>
      <c r="F969" s="37"/>
      <c r="G969" s="37"/>
      <c r="H969" s="37"/>
    </row>
    <row r="970">
      <c r="B970" s="444"/>
      <c r="F970" s="37"/>
      <c r="G970" s="37"/>
      <c r="H970" s="37"/>
    </row>
    <row r="971">
      <c r="B971" s="444"/>
      <c r="F971" s="37"/>
      <c r="G971" s="37"/>
      <c r="H971" s="37"/>
    </row>
    <row r="972">
      <c r="B972" s="444"/>
      <c r="F972" s="37"/>
      <c r="G972" s="37"/>
      <c r="H972" s="37"/>
    </row>
    <row r="973">
      <c r="B973" s="444"/>
      <c r="F973" s="37"/>
      <c r="G973" s="37"/>
      <c r="H973" s="37"/>
    </row>
    <row r="974">
      <c r="B974" s="444"/>
      <c r="F974" s="37"/>
      <c r="G974" s="37"/>
      <c r="H974" s="37"/>
    </row>
    <row r="975">
      <c r="B975" s="444"/>
      <c r="F975" s="37"/>
      <c r="G975" s="37"/>
      <c r="H975" s="37"/>
    </row>
    <row r="976">
      <c r="B976" s="444"/>
      <c r="F976" s="37"/>
      <c r="G976" s="37"/>
      <c r="H976" s="37"/>
    </row>
    <row r="977">
      <c r="B977" s="444"/>
      <c r="F977" s="37"/>
      <c r="G977" s="37"/>
      <c r="H977" s="37"/>
    </row>
    <row r="978">
      <c r="B978" s="444"/>
      <c r="F978" s="37"/>
      <c r="G978" s="37"/>
      <c r="H978" s="37"/>
    </row>
    <row r="979">
      <c r="B979" s="444"/>
      <c r="F979" s="37"/>
      <c r="G979" s="37"/>
      <c r="H979" s="37"/>
    </row>
    <row r="980">
      <c r="B980" s="444"/>
      <c r="F980" s="37"/>
      <c r="G980" s="37"/>
      <c r="H980" s="37"/>
    </row>
    <row r="981">
      <c r="B981" s="444"/>
      <c r="F981" s="37"/>
      <c r="G981" s="37"/>
      <c r="H981" s="37"/>
    </row>
    <row r="982">
      <c r="B982" s="444"/>
      <c r="F982" s="37"/>
      <c r="G982" s="37"/>
      <c r="H982" s="37"/>
    </row>
    <row r="983">
      <c r="B983" s="444"/>
      <c r="F983" s="37"/>
      <c r="G983" s="37"/>
      <c r="H983" s="37"/>
    </row>
    <row r="984">
      <c r="B984" s="444"/>
      <c r="F984" s="37"/>
      <c r="G984" s="37"/>
      <c r="H984" s="37"/>
    </row>
    <row r="985">
      <c r="B985" s="444"/>
      <c r="F985" s="37"/>
      <c r="G985" s="37"/>
      <c r="H985" s="37"/>
    </row>
    <row r="986">
      <c r="B986" s="444"/>
      <c r="F986" s="37"/>
      <c r="G986" s="37"/>
      <c r="H986" s="37"/>
    </row>
    <row r="987">
      <c r="B987" s="444"/>
      <c r="F987" s="37"/>
      <c r="G987" s="37"/>
      <c r="H987" s="37"/>
    </row>
    <row r="988">
      <c r="B988" s="444"/>
      <c r="F988" s="37"/>
      <c r="G988" s="37"/>
      <c r="H988" s="37"/>
    </row>
    <row r="989">
      <c r="B989" s="444"/>
      <c r="F989" s="37"/>
      <c r="G989" s="37"/>
      <c r="H989" s="37"/>
    </row>
    <row r="990">
      <c r="B990" s="444"/>
      <c r="F990" s="37"/>
      <c r="G990" s="37"/>
      <c r="H990" s="37"/>
    </row>
    <row r="991">
      <c r="B991" s="444"/>
      <c r="F991" s="37"/>
      <c r="G991" s="37"/>
      <c r="H991" s="37"/>
    </row>
    <row r="992">
      <c r="B992" s="444"/>
      <c r="F992" s="37"/>
      <c r="G992" s="37"/>
      <c r="H992" s="37"/>
    </row>
    <row r="993">
      <c r="B993" s="444"/>
      <c r="F993" s="37"/>
      <c r="G993" s="37"/>
      <c r="H993" s="37"/>
    </row>
    <row r="994">
      <c r="B994" s="444"/>
      <c r="F994" s="37"/>
      <c r="G994" s="37"/>
      <c r="H994" s="37"/>
    </row>
    <row r="995">
      <c r="B995" s="444"/>
      <c r="F995" s="37"/>
      <c r="G995" s="37"/>
      <c r="H995" s="37"/>
    </row>
    <row r="996">
      <c r="B996" s="444"/>
      <c r="F996" s="37"/>
      <c r="G996" s="37"/>
      <c r="H996" s="37"/>
    </row>
    <row r="997">
      <c r="B997" s="444"/>
      <c r="F997" s="37"/>
      <c r="G997" s="37"/>
      <c r="H997" s="37"/>
    </row>
    <row r="998">
      <c r="B998" s="444"/>
      <c r="F998" s="37"/>
      <c r="G998" s="37"/>
      <c r="H998" s="37"/>
    </row>
    <row r="999">
      <c r="B999" s="444"/>
      <c r="F999" s="37"/>
      <c r="G999" s="37"/>
      <c r="H999" s="37"/>
    </row>
    <row r="1000">
      <c r="B1000" s="444"/>
      <c r="F1000" s="37"/>
      <c r="G1000" s="37"/>
      <c r="H1000" s="37"/>
    </row>
    <row r="1001">
      <c r="B1001" s="444"/>
      <c r="F1001" s="37"/>
      <c r="G1001" s="37"/>
      <c r="H1001" s="37"/>
    </row>
    <row r="1002">
      <c r="B1002" s="444"/>
      <c r="F1002" s="37"/>
      <c r="G1002" s="37"/>
      <c r="H1002" s="37"/>
    </row>
    <row r="1003">
      <c r="B1003" s="444"/>
      <c r="F1003" s="37"/>
      <c r="G1003" s="37"/>
      <c r="H1003" s="37"/>
    </row>
    <row r="1004">
      <c r="B1004" s="444"/>
      <c r="F1004" s="37"/>
      <c r="G1004" s="37"/>
      <c r="H1004" s="37"/>
    </row>
    <row r="1005">
      <c r="B1005" s="444"/>
      <c r="F1005" s="37"/>
      <c r="G1005" s="37"/>
      <c r="H1005" s="37"/>
    </row>
    <row r="1006">
      <c r="B1006" s="444"/>
      <c r="F1006" s="37"/>
      <c r="G1006" s="37"/>
      <c r="H1006" s="37"/>
    </row>
    <row r="1007">
      <c r="B1007" s="444"/>
      <c r="F1007" s="37"/>
      <c r="G1007" s="37"/>
      <c r="H1007" s="37"/>
    </row>
    <row r="1008">
      <c r="B1008" s="444"/>
      <c r="F1008" s="37"/>
      <c r="G1008" s="37"/>
      <c r="H1008" s="37"/>
    </row>
    <row r="1009">
      <c r="B1009" s="444"/>
      <c r="F1009" s="37"/>
      <c r="G1009" s="37"/>
      <c r="H1009" s="37"/>
    </row>
    <row r="1010">
      <c r="B1010" s="444"/>
      <c r="F1010" s="37"/>
      <c r="G1010" s="37"/>
      <c r="H1010" s="37"/>
    </row>
    <row r="1011">
      <c r="B1011" s="444"/>
      <c r="F1011" s="37"/>
      <c r="G1011" s="37"/>
      <c r="H1011" s="37"/>
    </row>
    <row r="1012">
      <c r="B1012" s="444"/>
      <c r="F1012" s="37"/>
      <c r="G1012" s="37"/>
      <c r="H1012" s="37"/>
    </row>
    <row r="1013">
      <c r="B1013" s="444"/>
      <c r="F1013" s="37"/>
      <c r="G1013" s="37"/>
      <c r="H1013" s="37"/>
    </row>
    <row r="1014">
      <c r="B1014" s="444"/>
      <c r="F1014" s="37"/>
      <c r="G1014" s="37"/>
      <c r="H1014" s="37"/>
    </row>
    <row r="1015">
      <c r="B1015" s="444"/>
      <c r="F1015" s="37"/>
      <c r="G1015" s="37"/>
      <c r="H1015" s="37"/>
    </row>
    <row r="1016">
      <c r="B1016" s="444"/>
      <c r="F1016" s="37"/>
      <c r="G1016" s="37"/>
      <c r="H1016" s="37"/>
    </row>
    <row r="1017">
      <c r="B1017" s="444"/>
      <c r="F1017" s="37"/>
      <c r="G1017" s="37"/>
      <c r="H1017" s="37"/>
    </row>
    <row r="1018">
      <c r="B1018" s="444"/>
      <c r="F1018" s="37"/>
      <c r="G1018" s="37"/>
      <c r="H1018" s="37"/>
    </row>
    <row r="1019">
      <c r="B1019" s="444"/>
      <c r="F1019" s="37"/>
      <c r="G1019" s="37"/>
      <c r="H1019" s="37"/>
    </row>
    <row r="1020">
      <c r="B1020" s="444"/>
      <c r="F1020" s="37"/>
      <c r="G1020" s="37"/>
      <c r="H1020" s="37"/>
    </row>
    <row r="1021">
      <c r="B1021" s="444"/>
      <c r="F1021" s="37"/>
      <c r="G1021" s="37"/>
      <c r="H1021" s="37"/>
    </row>
    <row r="1022">
      <c r="B1022" s="444"/>
      <c r="F1022" s="37"/>
      <c r="G1022" s="37"/>
      <c r="H1022" s="37"/>
    </row>
    <row r="1023">
      <c r="B1023" s="444"/>
      <c r="F1023" s="37"/>
      <c r="G1023" s="37"/>
      <c r="H1023" s="37"/>
    </row>
    <row r="1024">
      <c r="B1024" s="444"/>
      <c r="F1024" s="37"/>
      <c r="G1024" s="37"/>
      <c r="H1024" s="37"/>
    </row>
    <row r="1025">
      <c r="B1025" s="444"/>
      <c r="F1025" s="37"/>
      <c r="G1025" s="37"/>
      <c r="H1025" s="37"/>
    </row>
    <row r="1026">
      <c r="B1026" s="444"/>
      <c r="F1026" s="37"/>
      <c r="G1026" s="37"/>
      <c r="H1026" s="37"/>
    </row>
    <row r="1027">
      <c r="B1027" s="444"/>
      <c r="F1027" s="37"/>
      <c r="G1027" s="37"/>
      <c r="H1027" s="37"/>
    </row>
    <row r="1028">
      <c r="B1028" s="444"/>
      <c r="F1028" s="37"/>
      <c r="G1028" s="37"/>
      <c r="H1028" s="37"/>
    </row>
    <row r="1029">
      <c r="B1029" s="444"/>
      <c r="F1029" s="37"/>
      <c r="G1029" s="37"/>
      <c r="H1029" s="37"/>
    </row>
    <row r="1030">
      <c r="B1030" s="444"/>
      <c r="F1030" s="37"/>
      <c r="G1030" s="37"/>
      <c r="H1030" s="37"/>
    </row>
    <row r="1031">
      <c r="B1031" s="444"/>
      <c r="F1031" s="37"/>
      <c r="G1031" s="37"/>
      <c r="H1031" s="37"/>
    </row>
    <row r="1032">
      <c r="B1032" s="444"/>
      <c r="F1032" s="37"/>
      <c r="G1032" s="37"/>
      <c r="H1032" s="37"/>
    </row>
    <row r="1033">
      <c r="B1033" s="444"/>
      <c r="F1033" s="37"/>
      <c r="G1033" s="37"/>
      <c r="H1033" s="37"/>
    </row>
    <row r="1034">
      <c r="B1034" s="444"/>
      <c r="F1034" s="37"/>
      <c r="G1034" s="37"/>
      <c r="H1034" s="37"/>
    </row>
    <row r="1035">
      <c r="B1035" s="444"/>
      <c r="F1035" s="37"/>
      <c r="G1035" s="37"/>
      <c r="H1035" s="37"/>
    </row>
    <row r="1036">
      <c r="B1036" s="444"/>
      <c r="F1036" s="37"/>
      <c r="G1036" s="37"/>
      <c r="H1036" s="37"/>
    </row>
    <row r="1037">
      <c r="B1037" s="444"/>
      <c r="F1037" s="37"/>
      <c r="G1037" s="37"/>
      <c r="H1037" s="37"/>
    </row>
    <row r="1038">
      <c r="B1038" s="444"/>
      <c r="F1038" s="37"/>
      <c r="G1038" s="37"/>
      <c r="H1038" s="37"/>
    </row>
    <row r="1039">
      <c r="B1039" s="444"/>
      <c r="F1039" s="37"/>
      <c r="G1039" s="37"/>
      <c r="H1039" s="37"/>
    </row>
    <row r="1040">
      <c r="B1040" s="444"/>
      <c r="F1040" s="37"/>
      <c r="G1040" s="37"/>
      <c r="H1040" s="37"/>
    </row>
    <row r="1041">
      <c r="B1041" s="444"/>
      <c r="F1041" s="37"/>
      <c r="G1041" s="37"/>
      <c r="H1041" s="37"/>
    </row>
    <row r="1042">
      <c r="B1042" s="444"/>
      <c r="F1042" s="37"/>
      <c r="G1042" s="37"/>
      <c r="H1042" s="37"/>
    </row>
    <row r="1043">
      <c r="B1043" s="444"/>
      <c r="F1043" s="37"/>
      <c r="G1043" s="37"/>
      <c r="H1043" s="37"/>
    </row>
    <row r="1044">
      <c r="B1044" s="444"/>
      <c r="F1044" s="37"/>
      <c r="G1044" s="37"/>
      <c r="H1044" s="37"/>
    </row>
    <row r="1045">
      <c r="B1045" s="444"/>
      <c r="F1045" s="37"/>
      <c r="G1045" s="37"/>
      <c r="H1045" s="37"/>
    </row>
    <row r="1046">
      <c r="B1046" s="444"/>
      <c r="F1046" s="37"/>
      <c r="G1046" s="37"/>
      <c r="H1046" s="37"/>
    </row>
    <row r="1047">
      <c r="B1047" s="444"/>
      <c r="F1047" s="37"/>
      <c r="G1047" s="37"/>
      <c r="H1047" s="37"/>
    </row>
    <row r="1048">
      <c r="B1048" s="444"/>
      <c r="F1048" s="37"/>
      <c r="G1048" s="37"/>
      <c r="H1048" s="37"/>
    </row>
    <row r="1049">
      <c r="B1049" s="444"/>
      <c r="F1049" s="37"/>
      <c r="G1049" s="37"/>
      <c r="H1049" s="37"/>
    </row>
    <row r="1050">
      <c r="B1050" s="444"/>
      <c r="F1050" s="37"/>
      <c r="G1050" s="37"/>
      <c r="H1050" s="37"/>
    </row>
    <row r="1051">
      <c r="B1051" s="444"/>
      <c r="F1051" s="37"/>
      <c r="G1051" s="37"/>
      <c r="H1051" s="37"/>
    </row>
    <row r="1052">
      <c r="B1052" s="444"/>
      <c r="F1052" s="37"/>
      <c r="G1052" s="37"/>
      <c r="H1052" s="37"/>
    </row>
    <row r="1053">
      <c r="B1053" s="444"/>
      <c r="F1053" s="37"/>
      <c r="G1053" s="37"/>
      <c r="H1053" s="37"/>
    </row>
    <row r="1054">
      <c r="B1054" s="444"/>
      <c r="F1054" s="37"/>
      <c r="G1054" s="37"/>
      <c r="H1054" s="37"/>
    </row>
    <row r="1055">
      <c r="B1055" s="444"/>
      <c r="F1055" s="37"/>
      <c r="G1055" s="37"/>
      <c r="H1055" s="37"/>
    </row>
  </sheetData>
  <mergeCells count="75">
    <mergeCell ref="G3:G4"/>
    <mergeCell ref="H3:H4"/>
    <mergeCell ref="I3:I4"/>
    <mergeCell ref="J3:J4"/>
    <mergeCell ref="K3:K4"/>
    <mergeCell ref="L3:L4"/>
    <mergeCell ref="F23:F24"/>
    <mergeCell ref="G23:G24"/>
    <mergeCell ref="H23:H24"/>
    <mergeCell ref="I23:I24"/>
    <mergeCell ref="J23:J24"/>
    <mergeCell ref="K23:K24"/>
    <mergeCell ref="L23:L24"/>
    <mergeCell ref="M23:M24"/>
    <mergeCell ref="G1:H1"/>
    <mergeCell ref="E2:T2"/>
    <mergeCell ref="A3:A4"/>
    <mergeCell ref="C3:C4"/>
    <mergeCell ref="D3:D4"/>
    <mergeCell ref="E3:E4"/>
    <mergeCell ref="F3:F4"/>
    <mergeCell ref="M3:M4"/>
    <mergeCell ref="P3:R3"/>
    <mergeCell ref="E22:T22"/>
    <mergeCell ref="A23:A24"/>
    <mergeCell ref="C23:C24"/>
    <mergeCell ref="D23:D24"/>
    <mergeCell ref="E23:E24"/>
    <mergeCell ref="P23:R23"/>
    <mergeCell ref="F61:F62"/>
    <mergeCell ref="G61:G62"/>
    <mergeCell ref="H61:H62"/>
    <mergeCell ref="I61:I62"/>
    <mergeCell ref="J61:J62"/>
    <mergeCell ref="K61:K62"/>
    <mergeCell ref="L61:L62"/>
    <mergeCell ref="M61:M62"/>
    <mergeCell ref="E100:E101"/>
    <mergeCell ref="F100:F101"/>
    <mergeCell ref="P133:R133"/>
    <mergeCell ref="S133:S134"/>
    <mergeCell ref="P100:R100"/>
    <mergeCell ref="S100:S101"/>
    <mergeCell ref="C132:X132"/>
    <mergeCell ref="D133:D134"/>
    <mergeCell ref="E133:G134"/>
    <mergeCell ref="H133:H134"/>
    <mergeCell ref="I133:I134"/>
    <mergeCell ref="N23:N24"/>
    <mergeCell ref="O23:O24"/>
    <mergeCell ref="E60:T60"/>
    <mergeCell ref="A61:A62"/>
    <mergeCell ref="C61:C62"/>
    <mergeCell ref="D61:D62"/>
    <mergeCell ref="E61:E62"/>
    <mergeCell ref="P61:R61"/>
    <mergeCell ref="G100:G101"/>
    <mergeCell ref="H100:H101"/>
    <mergeCell ref="J100:J101"/>
    <mergeCell ref="K100:K101"/>
    <mergeCell ref="L100:L101"/>
    <mergeCell ref="M100:M101"/>
    <mergeCell ref="N61:N62"/>
    <mergeCell ref="O61:O62"/>
    <mergeCell ref="E99:T99"/>
    <mergeCell ref="A100:A101"/>
    <mergeCell ref="B100:B101"/>
    <mergeCell ref="C100:C101"/>
    <mergeCell ref="D100:D101"/>
    <mergeCell ref="T100:T101"/>
    <mergeCell ref="J133:J134"/>
    <mergeCell ref="K133:K134"/>
    <mergeCell ref="F146:H148"/>
    <mergeCell ref="L133:L134"/>
    <mergeCell ref="M133:M134"/>
  </mergeCells>
  <dataValidations>
    <dataValidation type="list" allowBlank="1" showErrorMessage="1" sqref="V16:V21 V31:V46 V63:V98 V120:V131 V139">
      <formula1>"ĐỘC QUYỀN,CHECK ADMIN,THU HỒI"</formula1>
    </dataValidation>
  </dataValidations>
  <hyperlinks>
    <hyperlink r:id="rId1" ref="S5"/>
    <hyperlink r:id="rId2" ref="S16"/>
    <hyperlink r:id="rId3" ref="S17"/>
    <hyperlink r:id="rId4" ref="S18"/>
    <hyperlink r:id="rId5" ref="S19"/>
    <hyperlink r:id="rId6" ref="S20"/>
    <hyperlink r:id="rId7" ref="S21"/>
    <hyperlink r:id="rId8" ref="S25"/>
    <hyperlink r:id="rId9" ref="S26"/>
    <hyperlink r:id="rId10" ref="S28"/>
    <hyperlink r:id="rId11" ref="S29"/>
    <hyperlink r:id="rId12" ref="S30"/>
    <hyperlink r:id="rId13" ref="S31"/>
    <hyperlink r:id="rId14" ref="S32"/>
    <hyperlink r:id="rId15" ref="S33"/>
    <hyperlink r:id="rId16" ref="S34"/>
    <hyperlink r:id="rId17" ref="S35"/>
    <hyperlink r:id="rId18" ref="S36"/>
    <hyperlink r:id="rId19" ref="S37"/>
    <hyperlink r:id="rId20" ref="S38"/>
    <hyperlink r:id="rId21" ref="S39"/>
    <hyperlink r:id="rId22" ref="S40"/>
    <hyperlink r:id="rId23" ref="S41"/>
    <hyperlink r:id="rId24" ref="S42"/>
    <hyperlink r:id="rId25" ref="S43"/>
    <hyperlink r:id="rId26" ref="S44"/>
    <hyperlink r:id="rId27" ref="S45"/>
    <hyperlink r:id="rId28" ref="S46"/>
    <hyperlink r:id="rId29" ref="S47"/>
    <hyperlink r:id="rId30" ref="S48"/>
    <hyperlink r:id="rId31" ref="S49"/>
    <hyperlink r:id="rId32" ref="S50"/>
    <hyperlink r:id="rId33" ref="S51"/>
    <hyperlink r:id="rId34" ref="S53"/>
    <hyperlink r:id="rId35" ref="S54"/>
    <hyperlink r:id="rId36" ref="S55"/>
    <hyperlink r:id="rId37" ref="S56"/>
    <hyperlink r:id="rId38" ref="S57"/>
    <hyperlink r:id="rId39" ref="S58"/>
    <hyperlink r:id="rId40" ref="S59"/>
    <hyperlink r:id="rId41" ref="S63"/>
    <hyperlink r:id="rId42" ref="S64"/>
    <hyperlink r:id="rId43" ref="S65"/>
    <hyperlink r:id="rId44" ref="S66"/>
    <hyperlink r:id="rId45" ref="S67"/>
    <hyperlink r:id="rId46" ref="S68"/>
    <hyperlink r:id="rId47" ref="S70"/>
    <hyperlink r:id="rId48" ref="S71"/>
    <hyperlink r:id="rId49" ref="S72"/>
    <hyperlink r:id="rId50" ref="S73"/>
    <hyperlink r:id="rId51" ref="S74"/>
    <hyperlink r:id="rId52" ref="S75"/>
    <hyperlink r:id="rId53" ref="S76"/>
    <hyperlink r:id="rId54" ref="S77"/>
    <hyperlink r:id="rId55" ref="S78"/>
    <hyperlink r:id="rId56" ref="S79"/>
    <hyperlink r:id="rId57" ref="S80"/>
    <hyperlink r:id="rId58" ref="S81"/>
    <hyperlink r:id="rId59" ref="S82"/>
    <hyperlink r:id="rId60" ref="S83"/>
    <hyperlink r:id="rId61" ref="S84"/>
    <hyperlink r:id="rId62" ref="S85"/>
    <hyperlink r:id="rId63" ref="S86"/>
    <hyperlink r:id="rId64" ref="S87"/>
    <hyperlink r:id="rId65" ref="S88"/>
    <hyperlink r:id="rId66" ref="S89"/>
    <hyperlink r:id="rId67" ref="S90"/>
    <hyperlink r:id="rId68" ref="S91"/>
    <hyperlink r:id="rId69" ref="S92"/>
    <hyperlink r:id="rId70" ref="S93"/>
    <hyperlink r:id="rId71" ref="S94"/>
    <hyperlink r:id="rId72" ref="S95"/>
    <hyperlink r:id="rId73" ref="S96"/>
    <hyperlink r:id="rId74" ref="S97"/>
    <hyperlink r:id="rId75" ref="S98"/>
    <hyperlink r:id="rId76" ref="S107"/>
    <hyperlink r:id="rId77" ref="S108"/>
    <hyperlink r:id="rId78" ref="S112"/>
    <hyperlink r:id="rId79" ref="S119"/>
    <hyperlink r:id="rId80" ref="S120"/>
    <hyperlink r:id="rId81" ref="S121"/>
    <hyperlink r:id="rId82" ref="S122"/>
    <hyperlink r:id="rId83" ref="S123"/>
    <hyperlink r:id="rId84" ref="S124"/>
    <hyperlink r:id="rId85" ref="S125"/>
    <hyperlink r:id="rId86" ref="S126"/>
    <hyperlink r:id="rId87" ref="S127"/>
    <hyperlink r:id="rId88" ref="S128"/>
    <hyperlink r:id="rId89" ref="S129"/>
    <hyperlink r:id="rId90" ref="S135"/>
    <hyperlink r:id="rId91" ref="S136"/>
    <hyperlink r:id="rId92" ref="S137"/>
    <hyperlink r:id="rId93" ref="S138"/>
    <hyperlink r:id="rId94" ref="S139"/>
    <hyperlink r:id="rId95" ref="S140"/>
    <hyperlink r:id="rId96" ref="S141"/>
    <hyperlink r:id="rId97" ref="S142"/>
    <hyperlink r:id="rId98" ref="S143"/>
    <hyperlink r:id="rId99" ref="S14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0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2.25"/>
    <col customWidth="1" min="3" max="3" width="12.5"/>
    <col customWidth="1" min="4" max="4" width="21.88"/>
    <col customWidth="1" min="5" max="5" width="12.75"/>
    <col customWidth="1" min="6" max="6" width="15.75"/>
    <col customWidth="1" min="7" max="7" width="20.38"/>
    <col customWidth="1" min="8" max="8" width="20.13"/>
    <col customWidth="1" min="9" max="9" width="18.25"/>
    <col customWidth="1" min="10" max="10" width="23.88"/>
  </cols>
  <sheetData>
    <row r="1">
      <c r="A1" s="2"/>
      <c r="B1" s="4"/>
      <c r="C1" s="6" t="s">
        <v>0</v>
      </c>
      <c r="D1" s="8"/>
      <c r="E1" s="8"/>
      <c r="F1" s="8"/>
      <c r="G1" s="8"/>
      <c r="H1" s="8"/>
      <c r="I1" s="10"/>
      <c r="J1" s="4"/>
      <c r="K1" s="13" t="s">
        <v>1</v>
      </c>
      <c r="L1" s="15" t="s">
        <v>2</v>
      </c>
    </row>
    <row r="2">
      <c r="A2" s="18"/>
      <c r="B2" s="4"/>
      <c r="C2" s="4"/>
      <c r="D2" s="4"/>
      <c r="E2" s="4"/>
      <c r="F2" s="4"/>
      <c r="G2" s="21"/>
      <c r="H2" s="4"/>
      <c r="I2" s="22"/>
      <c r="J2" s="21"/>
      <c r="K2" s="23" t="s">
        <v>4</v>
      </c>
      <c r="L2" s="21"/>
    </row>
    <row r="3">
      <c r="A3" s="25" t="s">
        <v>5</v>
      </c>
      <c r="B3" s="28" t="s">
        <v>6</v>
      </c>
      <c r="C3" s="25" t="s">
        <v>8</v>
      </c>
      <c r="D3" s="25" t="s">
        <v>9</v>
      </c>
      <c r="E3" s="25" t="s">
        <v>11</v>
      </c>
      <c r="F3" s="25" t="s">
        <v>12</v>
      </c>
      <c r="G3" s="33" t="s">
        <v>14</v>
      </c>
      <c r="H3" s="33" t="s">
        <v>16</v>
      </c>
      <c r="I3" s="33" t="s">
        <v>17</v>
      </c>
      <c r="J3" s="33" t="s">
        <v>18</v>
      </c>
      <c r="K3" s="33" t="s">
        <v>19</v>
      </c>
      <c r="L3" s="33" t="s">
        <v>20</v>
      </c>
      <c r="M3" s="37"/>
    </row>
    <row r="4" hidden="1">
      <c r="A4" s="39">
        <v>1.0</v>
      </c>
      <c r="B4" s="41" t="s">
        <v>21</v>
      </c>
      <c r="C4" s="42" t="s">
        <v>22</v>
      </c>
      <c r="D4" s="42">
        <v>15.0</v>
      </c>
      <c r="E4" s="42">
        <v>21.0</v>
      </c>
      <c r="F4" s="42" t="s">
        <v>23</v>
      </c>
      <c r="G4" s="44" t="s">
        <v>24</v>
      </c>
      <c r="H4" s="42">
        <v>72.5</v>
      </c>
      <c r="I4" s="42">
        <v>66.4</v>
      </c>
      <c r="J4" s="47">
        <v>6.620479109E9</v>
      </c>
      <c r="K4" s="42"/>
      <c r="L4" s="53" t="s">
        <v>23</v>
      </c>
      <c r="M4" s="37"/>
    </row>
    <row r="5" hidden="1">
      <c r="A5" s="39">
        <v>2.0</v>
      </c>
      <c r="B5" s="41" t="s">
        <v>21</v>
      </c>
      <c r="C5" s="42" t="s">
        <v>33</v>
      </c>
      <c r="D5" s="42" t="s">
        <v>35</v>
      </c>
      <c r="E5" s="42" t="str">
        <f t="shared" ref="E5:E27" si="1">RIGHT(F5,2)</f>
        <v>39</v>
      </c>
      <c r="F5" s="42" t="s">
        <v>44</v>
      </c>
      <c r="G5" s="42" t="s">
        <v>24</v>
      </c>
      <c r="H5" s="42">
        <v>72.0</v>
      </c>
      <c r="I5" s="42">
        <v>66.3</v>
      </c>
      <c r="J5" s="47">
        <v>7.54125813E9</v>
      </c>
      <c r="K5" s="64">
        <v>46012.0</v>
      </c>
      <c r="L5" s="53" t="s">
        <v>44</v>
      </c>
      <c r="M5" s="37"/>
    </row>
    <row r="6" hidden="1">
      <c r="A6" s="41">
        <v>3.0</v>
      </c>
      <c r="B6" s="41" t="s">
        <v>21</v>
      </c>
      <c r="C6" s="42" t="s">
        <v>51</v>
      </c>
      <c r="D6" s="42">
        <v>22.0</v>
      </c>
      <c r="E6" s="42" t="str">
        <f t="shared" si="1"/>
        <v>22</v>
      </c>
      <c r="F6" s="42" t="s">
        <v>52</v>
      </c>
      <c r="G6" s="42" t="s">
        <v>53</v>
      </c>
      <c r="H6" s="42">
        <v>57.3</v>
      </c>
      <c r="I6" s="42">
        <v>52.1</v>
      </c>
      <c r="J6" s="47">
        <v>4.731303949E9</v>
      </c>
      <c r="K6" s="64"/>
      <c r="L6" s="53" t="s">
        <v>52</v>
      </c>
      <c r="M6" s="37"/>
    </row>
    <row r="7" hidden="1">
      <c r="A7" s="41">
        <v>4.0</v>
      </c>
      <c r="B7" s="41" t="s">
        <v>57</v>
      </c>
      <c r="C7" s="39" t="s">
        <v>51</v>
      </c>
      <c r="D7" s="39" t="str">
        <f t="shared" ref="D7:D8" si="2">mid(F7,3,3)</f>
        <v>03A</v>
      </c>
      <c r="E7" s="42" t="str">
        <f t="shared" si="1"/>
        <v>05</v>
      </c>
      <c r="F7" s="39" t="s">
        <v>59</v>
      </c>
      <c r="G7" s="39" t="s">
        <v>60</v>
      </c>
      <c r="H7" s="39"/>
      <c r="I7" s="81" t="s">
        <v>61</v>
      </c>
      <c r="J7" s="84">
        <v>4.36765202E9</v>
      </c>
      <c r="K7" s="86">
        <v>46153.0</v>
      </c>
      <c r="L7" s="39"/>
      <c r="M7" s="37"/>
    </row>
    <row r="8" hidden="1">
      <c r="A8" s="41">
        <v>5.0</v>
      </c>
      <c r="B8" s="41" t="s">
        <v>57</v>
      </c>
      <c r="C8" s="39" t="s">
        <v>51</v>
      </c>
      <c r="D8" s="39" t="str">
        <f t="shared" si="2"/>
        <v>03A</v>
      </c>
      <c r="E8" s="42" t="str">
        <f t="shared" si="1"/>
        <v>30</v>
      </c>
      <c r="F8" s="39" t="s">
        <v>67</v>
      </c>
      <c r="G8" s="39" t="s">
        <v>68</v>
      </c>
      <c r="H8" s="39"/>
      <c r="I8" s="81" t="s">
        <v>69</v>
      </c>
      <c r="J8" s="84">
        <v>6.984285508E9</v>
      </c>
      <c r="K8" s="86">
        <v>46153.0</v>
      </c>
      <c r="L8" s="39"/>
      <c r="M8" s="37"/>
    </row>
    <row r="9" hidden="1">
      <c r="A9" s="41">
        <v>6.0</v>
      </c>
      <c r="B9" s="41" t="s">
        <v>57</v>
      </c>
      <c r="C9" s="39" t="s">
        <v>51</v>
      </c>
      <c r="D9" s="39" t="str">
        <f t="shared" ref="D9:D11" si="3">mid(F9,3,2)</f>
        <v>07</v>
      </c>
      <c r="E9" s="42" t="str">
        <f t="shared" si="1"/>
        <v>28</v>
      </c>
      <c r="F9" s="39" t="s">
        <v>71</v>
      </c>
      <c r="G9" s="39" t="s">
        <v>68</v>
      </c>
      <c r="H9" s="39"/>
      <c r="I9" s="98" t="s">
        <v>72</v>
      </c>
      <c r="J9" s="84">
        <v>5.490569652E9</v>
      </c>
      <c r="K9" s="86">
        <v>46149.0</v>
      </c>
      <c r="L9" s="39"/>
      <c r="M9" s="37"/>
    </row>
    <row r="10" hidden="1">
      <c r="A10" s="41">
        <v>7.0</v>
      </c>
      <c r="B10" s="41" t="s">
        <v>57</v>
      </c>
      <c r="C10" s="39" t="s">
        <v>51</v>
      </c>
      <c r="D10" s="39" t="str">
        <f t="shared" si="3"/>
        <v>11</v>
      </c>
      <c r="E10" s="42" t="str">
        <f t="shared" si="1"/>
        <v>01</v>
      </c>
      <c r="F10" s="39" t="s">
        <v>74</v>
      </c>
      <c r="G10" s="39" t="s">
        <v>60</v>
      </c>
      <c r="H10" s="39"/>
      <c r="I10" s="81" t="s">
        <v>76</v>
      </c>
      <c r="J10" s="84">
        <v>4.744484218E9</v>
      </c>
      <c r="K10" s="86">
        <v>46153.0</v>
      </c>
      <c r="L10" s="39"/>
      <c r="M10" s="37"/>
    </row>
    <row r="11" hidden="1">
      <c r="A11" s="41">
        <v>8.0</v>
      </c>
      <c r="B11" s="41" t="s">
        <v>57</v>
      </c>
      <c r="C11" s="39" t="s">
        <v>51</v>
      </c>
      <c r="D11" s="39" t="str">
        <f t="shared" si="3"/>
        <v>12</v>
      </c>
      <c r="E11" s="42" t="str">
        <f t="shared" si="1"/>
        <v>23</v>
      </c>
      <c r="F11" s="39" t="s">
        <v>78</v>
      </c>
      <c r="G11" s="39" t="s">
        <v>60</v>
      </c>
      <c r="H11" s="39"/>
      <c r="I11" s="81" t="s">
        <v>79</v>
      </c>
      <c r="J11" s="84">
        <v>4.603315288E9</v>
      </c>
      <c r="K11" s="86">
        <v>46153.0</v>
      </c>
      <c r="L11" s="39"/>
      <c r="M11" s="37"/>
    </row>
    <row r="12" hidden="1">
      <c r="A12" s="41">
        <v>9.0</v>
      </c>
      <c r="B12" s="41" t="s">
        <v>57</v>
      </c>
      <c r="C12" s="39" t="s">
        <v>51</v>
      </c>
      <c r="D12" s="39" t="str">
        <f>mid(F12,3,3)</f>
        <v>12A</v>
      </c>
      <c r="E12" s="42" t="str">
        <f t="shared" si="1"/>
        <v>05</v>
      </c>
      <c r="F12" s="39" t="s">
        <v>82</v>
      </c>
      <c r="G12" s="39" t="s">
        <v>60</v>
      </c>
      <c r="H12" s="39"/>
      <c r="I12" s="81" t="s">
        <v>61</v>
      </c>
      <c r="J12" s="84">
        <v>4.538747475E9</v>
      </c>
      <c r="K12" s="86">
        <v>46153.0</v>
      </c>
      <c r="L12" s="39"/>
      <c r="M12" s="37"/>
    </row>
    <row r="13" hidden="1">
      <c r="A13" s="41">
        <v>10.0</v>
      </c>
      <c r="B13" s="41" t="s">
        <v>57</v>
      </c>
      <c r="C13" s="39" t="s">
        <v>51</v>
      </c>
      <c r="D13" s="39" t="str">
        <f t="shared" ref="D13:D30" si="4">mid(F13,3,2)</f>
        <v>16</v>
      </c>
      <c r="E13" s="42" t="str">
        <f t="shared" si="1"/>
        <v>07</v>
      </c>
      <c r="F13" s="41" t="s">
        <v>84</v>
      </c>
      <c r="G13" s="39" t="s">
        <v>68</v>
      </c>
      <c r="H13" s="39"/>
      <c r="I13" s="81" t="s">
        <v>86</v>
      </c>
      <c r="J13" s="84">
        <v>5.022858906E9</v>
      </c>
      <c r="K13" s="86">
        <v>46149.0</v>
      </c>
      <c r="L13" s="39"/>
      <c r="M13" s="37"/>
    </row>
    <row r="14" hidden="1">
      <c r="A14" s="41">
        <v>11.0</v>
      </c>
      <c r="B14" s="41" t="s">
        <v>57</v>
      </c>
      <c r="C14" s="39" t="s">
        <v>51</v>
      </c>
      <c r="D14" s="39" t="str">
        <f t="shared" si="4"/>
        <v>16</v>
      </c>
      <c r="E14" s="42" t="str">
        <f t="shared" si="1"/>
        <v>29</v>
      </c>
      <c r="F14" s="41" t="s">
        <v>98</v>
      </c>
      <c r="G14" s="39" t="s">
        <v>60</v>
      </c>
      <c r="H14" s="39"/>
      <c r="I14" s="81" t="s">
        <v>99</v>
      </c>
      <c r="J14" s="84">
        <v>4.49709642E9</v>
      </c>
      <c r="K14" s="86">
        <v>46153.0</v>
      </c>
      <c r="L14" s="39"/>
      <c r="M14" s="37"/>
    </row>
    <row r="15" hidden="1">
      <c r="A15" s="41">
        <v>12.0</v>
      </c>
      <c r="B15" s="41" t="s">
        <v>57</v>
      </c>
      <c r="C15" s="39" t="s">
        <v>51</v>
      </c>
      <c r="D15" s="39" t="str">
        <f t="shared" si="4"/>
        <v>18</v>
      </c>
      <c r="E15" s="42" t="str">
        <f t="shared" si="1"/>
        <v>01</v>
      </c>
      <c r="F15" s="39" t="s">
        <v>102</v>
      </c>
      <c r="G15" s="39" t="s">
        <v>60</v>
      </c>
      <c r="H15" s="39"/>
      <c r="I15" s="81" t="s">
        <v>76</v>
      </c>
      <c r="J15" s="84">
        <v>4.989360613E9</v>
      </c>
      <c r="K15" s="86">
        <v>46153.0</v>
      </c>
      <c r="L15" s="39"/>
      <c r="M15" s="37"/>
    </row>
    <row r="16" hidden="1">
      <c r="A16" s="41">
        <v>13.0</v>
      </c>
      <c r="B16" s="41" t="s">
        <v>57</v>
      </c>
      <c r="C16" s="39" t="s">
        <v>51</v>
      </c>
      <c r="D16" s="39" t="str">
        <f t="shared" si="4"/>
        <v>19</v>
      </c>
      <c r="E16" s="42" t="str">
        <f t="shared" si="1"/>
        <v>07</v>
      </c>
      <c r="F16" s="39" t="s">
        <v>105</v>
      </c>
      <c r="G16" s="39" t="s">
        <v>68</v>
      </c>
      <c r="H16" s="39"/>
      <c r="I16" s="81" t="s">
        <v>86</v>
      </c>
      <c r="J16" s="84">
        <v>5.129913454E9</v>
      </c>
      <c r="K16" s="86">
        <v>46153.0</v>
      </c>
      <c r="L16" s="39"/>
      <c r="M16" s="37"/>
    </row>
    <row r="17" hidden="1">
      <c r="A17" s="41">
        <v>14.0</v>
      </c>
      <c r="B17" s="41" t="s">
        <v>57</v>
      </c>
      <c r="C17" s="39" t="s">
        <v>51</v>
      </c>
      <c r="D17" s="39" t="str">
        <f t="shared" si="4"/>
        <v>19</v>
      </c>
      <c r="E17" s="42" t="str">
        <f t="shared" si="1"/>
        <v>23</v>
      </c>
      <c r="F17" s="39" t="s">
        <v>109</v>
      </c>
      <c r="G17" s="39" t="s">
        <v>60</v>
      </c>
      <c r="H17" s="39"/>
      <c r="I17" s="81" t="s">
        <v>79</v>
      </c>
      <c r="J17" s="84">
        <v>4.839114631E9</v>
      </c>
      <c r="K17" s="86">
        <v>46153.0</v>
      </c>
      <c r="L17" s="39"/>
      <c r="M17" s="37"/>
    </row>
    <row r="18" hidden="1">
      <c r="A18" s="41">
        <v>15.0</v>
      </c>
      <c r="B18" s="41" t="s">
        <v>57</v>
      </c>
      <c r="C18" s="39" t="s">
        <v>51</v>
      </c>
      <c r="D18" s="39" t="str">
        <f t="shared" si="4"/>
        <v>20</v>
      </c>
      <c r="E18" s="42" t="str">
        <f t="shared" si="1"/>
        <v>02</v>
      </c>
      <c r="F18" s="39" t="s">
        <v>112</v>
      </c>
      <c r="G18" s="39" t="s">
        <v>60</v>
      </c>
      <c r="H18" s="39"/>
      <c r="I18" s="81" t="s">
        <v>76</v>
      </c>
      <c r="J18" s="84">
        <v>5.059325298E9</v>
      </c>
      <c r="K18" s="86">
        <v>46149.0</v>
      </c>
      <c r="L18" s="39"/>
      <c r="M18" s="37"/>
    </row>
    <row r="19" hidden="1">
      <c r="A19" s="41"/>
      <c r="B19" s="41" t="s">
        <v>57</v>
      </c>
      <c r="C19" s="39" t="s">
        <v>51</v>
      </c>
      <c r="D19" s="39" t="str">
        <f t="shared" si="4"/>
        <v>20</v>
      </c>
      <c r="E19" s="42" t="str">
        <f t="shared" si="1"/>
        <v>28</v>
      </c>
      <c r="F19" s="39" t="s">
        <v>114</v>
      </c>
      <c r="G19" s="39" t="s">
        <v>68</v>
      </c>
      <c r="H19" s="39"/>
      <c r="I19" s="81" t="s">
        <v>72</v>
      </c>
      <c r="J19" s="132" t="s">
        <v>116</v>
      </c>
      <c r="K19" s="86">
        <v>46149.0</v>
      </c>
      <c r="L19" s="39"/>
      <c r="M19" s="37"/>
    </row>
    <row r="20" hidden="1">
      <c r="A20" s="41">
        <v>17.0</v>
      </c>
      <c r="B20" s="41" t="s">
        <v>57</v>
      </c>
      <c r="C20" s="39" t="s">
        <v>51</v>
      </c>
      <c r="D20" s="39" t="str">
        <f t="shared" si="4"/>
        <v>21</v>
      </c>
      <c r="E20" s="42" t="str">
        <f t="shared" si="1"/>
        <v>27</v>
      </c>
      <c r="F20" s="39" t="s">
        <v>118</v>
      </c>
      <c r="G20" s="39" t="s">
        <v>60</v>
      </c>
      <c r="H20" s="39"/>
      <c r="I20" s="81" t="s">
        <v>120</v>
      </c>
      <c r="J20" s="84">
        <v>4.182483543E9</v>
      </c>
      <c r="K20" s="86">
        <v>46153.0</v>
      </c>
      <c r="L20" s="39"/>
      <c r="M20" s="37"/>
    </row>
    <row r="21" hidden="1">
      <c r="A21" s="41">
        <v>18.0</v>
      </c>
      <c r="B21" s="41" t="s">
        <v>57</v>
      </c>
      <c r="C21" s="39" t="s">
        <v>51</v>
      </c>
      <c r="D21" s="39" t="str">
        <f t="shared" si="4"/>
        <v>22</v>
      </c>
      <c r="E21" s="42" t="str">
        <f t="shared" si="1"/>
        <v>01</v>
      </c>
      <c r="F21" s="39" t="s">
        <v>122</v>
      </c>
      <c r="G21" s="39" t="s">
        <v>60</v>
      </c>
      <c r="H21" s="39"/>
      <c r="I21" s="81" t="s">
        <v>76</v>
      </c>
      <c r="J21" s="84">
        <v>5.129289983E9</v>
      </c>
      <c r="K21" s="86">
        <v>46153.0</v>
      </c>
      <c r="L21" s="39"/>
      <c r="M21" s="37"/>
    </row>
    <row r="22" hidden="1">
      <c r="A22" s="41">
        <v>19.0</v>
      </c>
      <c r="B22" s="41" t="s">
        <v>57</v>
      </c>
      <c r="C22" s="39" t="s">
        <v>51</v>
      </c>
      <c r="D22" s="39" t="str">
        <f t="shared" si="4"/>
        <v>22</v>
      </c>
      <c r="E22" s="42" t="str">
        <f t="shared" si="1"/>
        <v>18</v>
      </c>
      <c r="F22" s="134" t="s">
        <v>128</v>
      </c>
      <c r="G22" s="39" t="s">
        <v>60</v>
      </c>
      <c r="H22" s="39"/>
      <c r="I22" s="81" t="s">
        <v>129</v>
      </c>
      <c r="J22" s="84">
        <v>4.87660311E9</v>
      </c>
      <c r="K22" s="86">
        <v>46149.0</v>
      </c>
      <c r="L22" s="39"/>
      <c r="M22" s="37"/>
    </row>
    <row r="23" hidden="1">
      <c r="A23" s="41">
        <v>20.0</v>
      </c>
      <c r="B23" s="41" t="s">
        <v>57</v>
      </c>
      <c r="C23" s="39" t="s">
        <v>51</v>
      </c>
      <c r="D23" s="39" t="str">
        <f t="shared" si="4"/>
        <v>22</v>
      </c>
      <c r="E23" s="42" t="str">
        <f t="shared" si="1"/>
        <v>24</v>
      </c>
      <c r="F23" s="134" t="s">
        <v>132</v>
      </c>
      <c r="G23" s="39" t="s">
        <v>68</v>
      </c>
      <c r="H23" s="39"/>
      <c r="I23" s="81" t="s">
        <v>133</v>
      </c>
      <c r="J23" s="84">
        <v>6.534011945E9</v>
      </c>
      <c r="K23" s="86">
        <v>46153.0</v>
      </c>
      <c r="L23" s="39"/>
      <c r="M23" s="37"/>
    </row>
    <row r="24" hidden="1">
      <c r="A24" s="41">
        <v>21.0</v>
      </c>
      <c r="B24" s="41" t="s">
        <v>57</v>
      </c>
      <c r="C24" s="39" t="s">
        <v>51</v>
      </c>
      <c r="D24" s="39" t="str">
        <f t="shared" si="4"/>
        <v>08</v>
      </c>
      <c r="E24" s="42" t="str">
        <f t="shared" si="1"/>
        <v>30</v>
      </c>
      <c r="F24" s="134" t="s">
        <v>135</v>
      </c>
      <c r="G24" s="39" t="s">
        <v>68</v>
      </c>
      <c r="H24" s="39"/>
      <c r="I24" s="81" t="s">
        <v>69</v>
      </c>
      <c r="J24" s="84">
        <v>7.258043428E9</v>
      </c>
      <c r="K24" s="39"/>
      <c r="L24" s="39"/>
      <c r="M24" s="37"/>
    </row>
    <row r="25" hidden="1">
      <c r="A25" s="41">
        <v>22.0</v>
      </c>
      <c r="B25" s="41" t="s">
        <v>57</v>
      </c>
      <c r="C25" s="39" t="s">
        <v>51</v>
      </c>
      <c r="D25" s="39" t="str">
        <f t="shared" si="4"/>
        <v>17</v>
      </c>
      <c r="E25" s="42" t="str">
        <f t="shared" si="1"/>
        <v>27</v>
      </c>
      <c r="F25" s="134" t="s">
        <v>137</v>
      </c>
      <c r="G25" s="39" t="s">
        <v>60</v>
      </c>
      <c r="H25" s="39"/>
      <c r="I25" s="81" t="s">
        <v>120</v>
      </c>
      <c r="J25" s="84">
        <v>4.06766877E9</v>
      </c>
      <c r="K25" s="39"/>
      <c r="L25" s="39"/>
      <c r="M25" s="37"/>
    </row>
    <row r="26" hidden="1">
      <c r="A26" s="41">
        <v>23.0</v>
      </c>
      <c r="B26" s="41" t="s">
        <v>57</v>
      </c>
      <c r="C26" s="39" t="s">
        <v>51</v>
      </c>
      <c r="D26" s="39" t="str">
        <f t="shared" si="4"/>
        <v>21</v>
      </c>
      <c r="E26" s="42" t="str">
        <f t="shared" si="1"/>
        <v>24</v>
      </c>
      <c r="F26" s="134" t="s">
        <v>141</v>
      </c>
      <c r="G26" s="39" t="s">
        <v>68</v>
      </c>
      <c r="H26" s="39"/>
      <c r="I26" s="81" t="s">
        <v>133</v>
      </c>
      <c r="J26" s="84">
        <v>6.489460462E9</v>
      </c>
      <c r="K26" s="39"/>
      <c r="L26" s="39"/>
      <c r="M26" s="37"/>
    </row>
    <row r="27" hidden="1">
      <c r="A27" s="41">
        <v>24.0</v>
      </c>
      <c r="B27" s="41" t="s">
        <v>57</v>
      </c>
      <c r="C27" s="39" t="s">
        <v>22</v>
      </c>
      <c r="D27" s="39" t="str">
        <f t="shared" si="4"/>
        <v>21</v>
      </c>
      <c r="E27" s="42" t="str">
        <f t="shared" si="1"/>
        <v>26</v>
      </c>
      <c r="F27" s="134" t="s">
        <v>143</v>
      </c>
      <c r="G27" s="81" t="s">
        <v>60</v>
      </c>
      <c r="H27" s="39"/>
      <c r="I27" s="81" t="s">
        <v>145</v>
      </c>
      <c r="J27" s="84">
        <v>5.2401985E9</v>
      </c>
      <c r="K27" s="39" t="s">
        <v>95</v>
      </c>
      <c r="L27" s="39"/>
      <c r="M27" s="37"/>
    </row>
    <row r="28" hidden="1">
      <c r="A28" s="41">
        <v>25.0</v>
      </c>
      <c r="B28" s="41" t="s">
        <v>57</v>
      </c>
      <c r="C28" s="39" t="s">
        <v>22</v>
      </c>
      <c r="D28" s="39" t="str">
        <f t="shared" si="4"/>
        <v>23</v>
      </c>
      <c r="E28" s="42" t="str">
        <f>RIGHT(F28,3)</f>
        <v>12A</v>
      </c>
      <c r="F28" s="134" t="s">
        <v>148</v>
      </c>
      <c r="G28" s="81" t="s">
        <v>60</v>
      </c>
      <c r="H28" s="39"/>
      <c r="I28" s="81" t="s">
        <v>149</v>
      </c>
      <c r="J28" s="84">
        <v>3.922948118E9</v>
      </c>
      <c r="K28" s="39" t="s">
        <v>95</v>
      </c>
      <c r="L28" s="39"/>
      <c r="M28" s="37"/>
    </row>
    <row r="29" hidden="1">
      <c r="A29" s="41">
        <v>26.0</v>
      </c>
      <c r="B29" s="41" t="s">
        <v>57</v>
      </c>
      <c r="C29" s="39" t="s">
        <v>151</v>
      </c>
      <c r="D29" s="39" t="str">
        <f t="shared" si="4"/>
        <v>06</v>
      </c>
      <c r="E29" s="42" t="str">
        <f t="shared" ref="E29:E35" si="5">RIGHT(F29,2)</f>
        <v>07</v>
      </c>
      <c r="F29" s="134" t="s">
        <v>153</v>
      </c>
      <c r="G29" s="81" t="s">
        <v>89</v>
      </c>
      <c r="H29" s="39"/>
      <c r="I29" s="81" t="s">
        <v>155</v>
      </c>
      <c r="J29" s="84">
        <v>2.922226864E9</v>
      </c>
      <c r="K29" s="39" t="s">
        <v>108</v>
      </c>
      <c r="L29" s="39"/>
      <c r="M29" s="37"/>
    </row>
    <row r="30" hidden="1">
      <c r="A30" s="41">
        <v>27.0</v>
      </c>
      <c r="B30" s="41" t="s">
        <v>57</v>
      </c>
      <c r="C30" s="84" t="s">
        <v>151</v>
      </c>
      <c r="D30" s="39" t="str">
        <f t="shared" si="4"/>
        <v>07</v>
      </c>
      <c r="E30" s="42" t="str">
        <f t="shared" si="5"/>
        <v>30</v>
      </c>
      <c r="F30" s="134" t="s">
        <v>159</v>
      </c>
      <c r="G30" s="81" t="s">
        <v>60</v>
      </c>
      <c r="H30" s="39"/>
      <c r="I30" s="81" t="s">
        <v>161</v>
      </c>
      <c r="J30" s="132" t="s">
        <v>162</v>
      </c>
      <c r="K30" s="39" t="s">
        <v>108</v>
      </c>
      <c r="L30" s="39"/>
      <c r="M30" s="37"/>
    </row>
    <row r="31" hidden="1">
      <c r="A31" s="41">
        <v>29.0</v>
      </c>
      <c r="B31" s="41" t="s">
        <v>57</v>
      </c>
      <c r="C31" s="39" t="s">
        <v>151</v>
      </c>
      <c r="D31" s="39" t="str">
        <f t="shared" ref="D31:D32" si="6">mid(F31,3,3)</f>
        <v>12A</v>
      </c>
      <c r="E31" s="42" t="str">
        <f t="shared" si="5"/>
        <v>32</v>
      </c>
      <c r="F31" s="134" t="s">
        <v>163</v>
      </c>
      <c r="G31" s="81" t="s">
        <v>60</v>
      </c>
      <c r="H31" s="39"/>
      <c r="I31" s="81" t="s">
        <v>164</v>
      </c>
      <c r="J31" s="84">
        <v>3.36251764E9</v>
      </c>
      <c r="K31" s="39" t="s">
        <v>95</v>
      </c>
      <c r="L31" s="39"/>
      <c r="M31" s="37"/>
    </row>
    <row r="32" hidden="1">
      <c r="A32" s="41">
        <v>30.0</v>
      </c>
      <c r="B32" s="41" t="s">
        <v>57</v>
      </c>
      <c r="C32" s="39" t="s">
        <v>151</v>
      </c>
      <c r="D32" s="39" t="str">
        <f t="shared" si="6"/>
        <v>12B</v>
      </c>
      <c r="E32" s="42" t="str">
        <f t="shared" si="5"/>
        <v>07</v>
      </c>
      <c r="F32" s="134" t="s">
        <v>166</v>
      </c>
      <c r="G32" s="81" t="s">
        <v>89</v>
      </c>
      <c r="H32" s="39"/>
      <c r="I32" s="81" t="s">
        <v>155</v>
      </c>
      <c r="J32" s="84">
        <v>2.966991906E9</v>
      </c>
      <c r="K32" s="39" t="s">
        <v>95</v>
      </c>
      <c r="L32" s="39"/>
      <c r="M32" s="37"/>
    </row>
    <row r="33">
      <c r="A33" s="41">
        <v>31.0</v>
      </c>
      <c r="B33" s="41" t="s">
        <v>57</v>
      </c>
      <c r="C33" s="84" t="s">
        <v>151</v>
      </c>
      <c r="D33" s="39" t="str">
        <f t="shared" ref="D33:D53" si="7">mid(F33,3,2)</f>
        <v>15</v>
      </c>
      <c r="E33" s="42" t="str">
        <f t="shared" si="5"/>
        <v>32</v>
      </c>
      <c r="F33" s="134" t="s">
        <v>168</v>
      </c>
      <c r="G33" s="81" t="s">
        <v>60</v>
      </c>
      <c r="H33" s="39"/>
      <c r="I33" s="81">
        <v>522.0</v>
      </c>
      <c r="J33" s="84">
        <v>3.539724005E9</v>
      </c>
      <c r="K33" s="39" t="s">
        <v>95</v>
      </c>
      <c r="L33" s="39"/>
      <c r="M33" s="37"/>
    </row>
    <row r="34" hidden="1">
      <c r="A34" s="41">
        <v>32.0</v>
      </c>
      <c r="B34" s="41" t="s">
        <v>57</v>
      </c>
      <c r="C34" s="39" t="s">
        <v>151</v>
      </c>
      <c r="D34" s="39" t="str">
        <f t="shared" si="7"/>
        <v>18</v>
      </c>
      <c r="E34" s="42" t="str">
        <f t="shared" si="5"/>
        <v>2A</v>
      </c>
      <c r="F34" s="134" t="s">
        <v>172</v>
      </c>
      <c r="G34" s="81" t="s">
        <v>60</v>
      </c>
      <c r="H34" s="39"/>
      <c r="I34" s="81" t="s">
        <v>76</v>
      </c>
      <c r="J34" s="84">
        <v>3.765666894E9</v>
      </c>
      <c r="K34" s="39" t="s">
        <v>95</v>
      </c>
      <c r="L34" s="39"/>
      <c r="M34" s="37"/>
    </row>
    <row r="35" hidden="1">
      <c r="A35" s="41">
        <v>33.0</v>
      </c>
      <c r="B35" s="41" t="s">
        <v>57</v>
      </c>
      <c r="C35" s="39" t="s">
        <v>151</v>
      </c>
      <c r="D35" s="39" t="str">
        <f t="shared" si="7"/>
        <v>18</v>
      </c>
      <c r="E35" s="42" t="str">
        <f t="shared" si="5"/>
        <v>30</v>
      </c>
      <c r="F35" s="134" t="s">
        <v>174</v>
      </c>
      <c r="G35" s="81" t="s">
        <v>60</v>
      </c>
      <c r="H35" s="39"/>
      <c r="I35" s="81" t="s">
        <v>157</v>
      </c>
      <c r="J35" s="84">
        <v>3.918796936E9</v>
      </c>
      <c r="K35" s="39" t="s">
        <v>95</v>
      </c>
      <c r="L35" s="39"/>
      <c r="M35" s="37"/>
    </row>
    <row r="36" hidden="1">
      <c r="A36" s="41">
        <v>34.0</v>
      </c>
      <c r="B36" s="41" t="s">
        <v>57</v>
      </c>
      <c r="C36" s="39" t="s">
        <v>151</v>
      </c>
      <c r="D36" s="39" t="str">
        <f t="shared" si="7"/>
        <v>19</v>
      </c>
      <c r="E36" s="42" t="str">
        <f>RIGHT(F36,3)</f>
        <v>12A</v>
      </c>
      <c r="F36" s="134" t="s">
        <v>176</v>
      </c>
      <c r="G36" s="81" t="s">
        <v>60</v>
      </c>
      <c r="H36" s="39"/>
      <c r="I36" s="81" t="s">
        <v>76</v>
      </c>
      <c r="J36" s="84">
        <v>3.792033612E9</v>
      </c>
      <c r="K36" s="39" t="s">
        <v>95</v>
      </c>
      <c r="L36" s="39"/>
      <c r="M36" s="37"/>
    </row>
    <row r="37" hidden="1">
      <c r="A37" s="41">
        <v>35.0</v>
      </c>
      <c r="B37" s="41" t="s">
        <v>57</v>
      </c>
      <c r="C37" s="84" t="s">
        <v>151</v>
      </c>
      <c r="D37" s="39" t="str">
        <f t="shared" si="7"/>
        <v>19</v>
      </c>
      <c r="E37" s="42" t="str">
        <f t="shared" ref="E37:E41" si="8">RIGHT(F37,2)</f>
        <v>35</v>
      </c>
      <c r="F37" s="134" t="s">
        <v>182</v>
      </c>
      <c r="G37" s="81" t="s">
        <v>89</v>
      </c>
      <c r="H37" s="39"/>
      <c r="I37" s="81" t="s">
        <v>183</v>
      </c>
      <c r="J37" s="84">
        <v>3.136661351E9</v>
      </c>
      <c r="K37" s="39" t="s">
        <v>108</v>
      </c>
      <c r="L37" s="39"/>
      <c r="M37" s="37"/>
    </row>
    <row r="38" hidden="1">
      <c r="A38" s="41">
        <v>36.0</v>
      </c>
      <c r="B38" s="41" t="s">
        <v>57</v>
      </c>
      <c r="C38" s="84" t="s">
        <v>151</v>
      </c>
      <c r="D38" s="39" t="str">
        <f t="shared" si="7"/>
        <v>20</v>
      </c>
      <c r="E38" s="42" t="str">
        <f t="shared" si="8"/>
        <v>11</v>
      </c>
      <c r="F38" s="134" t="s">
        <v>185</v>
      </c>
      <c r="G38" s="81" t="s">
        <v>60</v>
      </c>
      <c r="H38" s="39"/>
      <c r="I38" s="81" t="s">
        <v>186</v>
      </c>
      <c r="J38" s="84">
        <v>3.476254699E9</v>
      </c>
      <c r="K38" s="39" t="s">
        <v>95</v>
      </c>
      <c r="L38" s="39"/>
      <c r="M38" s="37"/>
    </row>
    <row r="39" hidden="1">
      <c r="A39" s="41">
        <v>37.0</v>
      </c>
      <c r="B39" s="41" t="s">
        <v>57</v>
      </c>
      <c r="C39" s="84" t="s">
        <v>151</v>
      </c>
      <c r="D39" s="39" t="str">
        <f t="shared" si="7"/>
        <v>22</v>
      </c>
      <c r="E39" s="42" t="str">
        <f t="shared" si="8"/>
        <v>11</v>
      </c>
      <c r="F39" s="134" t="s">
        <v>189</v>
      </c>
      <c r="G39" s="81" t="s">
        <v>60</v>
      </c>
      <c r="H39" s="39"/>
      <c r="I39" s="81" t="s">
        <v>186</v>
      </c>
      <c r="J39" s="84">
        <v>3.524252804E9</v>
      </c>
      <c r="K39" s="39" t="s">
        <v>108</v>
      </c>
      <c r="L39" s="39"/>
      <c r="M39" s="37"/>
    </row>
    <row r="40" hidden="1">
      <c r="A40" s="41">
        <v>38.0</v>
      </c>
      <c r="B40" s="41" t="s">
        <v>57</v>
      </c>
      <c r="C40" s="39" t="s">
        <v>151</v>
      </c>
      <c r="D40" s="39" t="str">
        <f t="shared" si="7"/>
        <v>23</v>
      </c>
      <c r="E40" s="42" t="str">
        <f t="shared" si="8"/>
        <v>16</v>
      </c>
      <c r="F40" s="41" t="s">
        <v>192</v>
      </c>
      <c r="G40" s="39" t="s">
        <v>60</v>
      </c>
      <c r="H40" s="39"/>
      <c r="I40" s="81" t="s">
        <v>161</v>
      </c>
      <c r="J40" s="84">
        <v>3.982694985E9</v>
      </c>
      <c r="K40" s="39" t="s">
        <v>108</v>
      </c>
      <c r="L40" s="39"/>
      <c r="M40" s="37"/>
    </row>
    <row r="41" hidden="1">
      <c r="A41" s="41">
        <v>39.0</v>
      </c>
      <c r="B41" s="41" t="s">
        <v>57</v>
      </c>
      <c r="C41" s="39" t="s">
        <v>151</v>
      </c>
      <c r="D41" s="39" t="str">
        <f t="shared" si="7"/>
        <v>24</v>
      </c>
      <c r="E41" s="42" t="str">
        <f t="shared" si="8"/>
        <v>11</v>
      </c>
      <c r="F41" s="39" t="s">
        <v>193</v>
      </c>
      <c r="G41" s="39" t="s">
        <v>60</v>
      </c>
      <c r="H41" s="39"/>
      <c r="I41" s="81" t="s">
        <v>164</v>
      </c>
      <c r="J41" s="84">
        <v>3.572250909E9</v>
      </c>
      <c r="K41" s="39" t="s">
        <v>108</v>
      </c>
      <c r="L41" s="39"/>
      <c r="M41" s="37"/>
    </row>
    <row r="42" hidden="1">
      <c r="A42" s="41">
        <v>40.0</v>
      </c>
      <c r="B42" s="41" t="s">
        <v>57</v>
      </c>
      <c r="C42" s="39" t="s">
        <v>151</v>
      </c>
      <c r="D42" s="39" t="str">
        <f t="shared" si="7"/>
        <v>08</v>
      </c>
      <c r="E42" s="42" t="str">
        <f>RIGHT(F42,3)</f>
        <v>03A</v>
      </c>
      <c r="F42" s="39" t="s">
        <v>196</v>
      </c>
      <c r="G42" s="39" t="s">
        <v>60</v>
      </c>
      <c r="H42" s="39"/>
      <c r="I42" s="81" t="s">
        <v>197</v>
      </c>
      <c r="J42" s="84">
        <v>4.673502701E9</v>
      </c>
      <c r="K42" s="39" t="s">
        <v>108</v>
      </c>
      <c r="L42" s="39"/>
      <c r="M42" s="37"/>
    </row>
    <row r="43" hidden="1">
      <c r="A43" s="41">
        <v>41.0</v>
      </c>
      <c r="B43" s="41" t="s">
        <v>57</v>
      </c>
      <c r="C43" s="39" t="s">
        <v>151</v>
      </c>
      <c r="D43" s="39" t="str">
        <f t="shared" si="7"/>
        <v>09</v>
      </c>
      <c r="E43" s="42" t="str">
        <f t="shared" ref="E43:E48" si="9">RIGHT(F43,2)</f>
        <v>09</v>
      </c>
      <c r="F43" s="39" t="s">
        <v>201</v>
      </c>
      <c r="G43" s="39" t="s">
        <v>68</v>
      </c>
      <c r="H43" s="39"/>
      <c r="I43" s="81" t="s">
        <v>202</v>
      </c>
      <c r="J43" s="84">
        <v>6.71033598E9</v>
      </c>
      <c r="K43" s="39" t="s">
        <v>108</v>
      </c>
      <c r="L43" s="39"/>
      <c r="M43" s="37"/>
    </row>
    <row r="44">
      <c r="A44" s="41">
        <v>42.0</v>
      </c>
      <c r="B44" s="41" t="s">
        <v>57</v>
      </c>
      <c r="C44" s="39" t="s">
        <v>151</v>
      </c>
      <c r="D44" s="39" t="str">
        <f t="shared" si="7"/>
        <v>12</v>
      </c>
      <c r="E44" s="42" t="str">
        <f t="shared" si="9"/>
        <v>01</v>
      </c>
      <c r="F44" s="39" t="s">
        <v>205</v>
      </c>
      <c r="G44" s="39" t="s">
        <v>60</v>
      </c>
      <c r="H44" s="39"/>
      <c r="I44" s="81" t="s">
        <v>190</v>
      </c>
      <c r="J44" s="84">
        <v>5.19422018E9</v>
      </c>
      <c r="K44" s="39" t="s">
        <v>108</v>
      </c>
      <c r="L44" s="39"/>
      <c r="M44" s="37"/>
    </row>
    <row r="45">
      <c r="A45" s="41">
        <v>43.0</v>
      </c>
      <c r="B45" s="41" t="s">
        <v>57</v>
      </c>
      <c r="C45" s="39" t="s">
        <v>151</v>
      </c>
      <c r="D45" s="39" t="str">
        <f t="shared" si="7"/>
        <v>12</v>
      </c>
      <c r="E45" s="42" t="str">
        <f t="shared" si="9"/>
        <v>02</v>
      </c>
      <c r="F45" s="39" t="s">
        <v>207</v>
      </c>
      <c r="G45" s="39" t="s">
        <v>60</v>
      </c>
      <c r="H45" s="39"/>
      <c r="I45" s="81" t="s">
        <v>209</v>
      </c>
      <c r="J45" s="84">
        <v>5.203175731E9</v>
      </c>
      <c r="K45" s="39" t="s">
        <v>108</v>
      </c>
      <c r="L45" s="39"/>
      <c r="M45" s="37"/>
    </row>
    <row r="46" hidden="1">
      <c r="A46" s="41">
        <v>44.0</v>
      </c>
      <c r="B46" s="41" t="s">
        <v>57</v>
      </c>
      <c r="C46" s="39" t="s">
        <v>151</v>
      </c>
      <c r="D46" s="39" t="str">
        <f t="shared" si="7"/>
        <v>17</v>
      </c>
      <c r="E46" s="42" t="str">
        <f t="shared" si="9"/>
        <v>17</v>
      </c>
      <c r="F46" s="39" t="s">
        <v>210</v>
      </c>
      <c r="G46" s="39" t="s">
        <v>60</v>
      </c>
      <c r="H46" s="39"/>
      <c r="I46" s="81" t="s">
        <v>209</v>
      </c>
      <c r="J46" s="84">
        <v>4.083314945E9</v>
      </c>
      <c r="K46" s="39" t="s">
        <v>108</v>
      </c>
      <c r="L46" s="39"/>
      <c r="M46" s="37"/>
    </row>
    <row r="47" hidden="1">
      <c r="A47" s="41">
        <v>45.0</v>
      </c>
      <c r="B47" s="41" t="s">
        <v>57</v>
      </c>
      <c r="C47" s="39" t="s">
        <v>151</v>
      </c>
      <c r="D47" s="39" t="str">
        <f t="shared" si="7"/>
        <v>17</v>
      </c>
      <c r="E47" s="42" t="str">
        <f t="shared" si="9"/>
        <v>34</v>
      </c>
      <c r="F47" s="39" t="s">
        <v>213</v>
      </c>
      <c r="G47" s="39" t="s">
        <v>68</v>
      </c>
      <c r="H47" s="39"/>
      <c r="I47" s="81" t="s">
        <v>202</v>
      </c>
      <c r="J47" s="84">
        <v>7.112127599E9</v>
      </c>
      <c r="K47" s="39" t="s">
        <v>108</v>
      </c>
      <c r="L47" s="39"/>
      <c r="M47" s="37"/>
    </row>
    <row r="48" hidden="1">
      <c r="A48" s="41">
        <v>46.0</v>
      </c>
      <c r="B48" s="41" t="s">
        <v>57</v>
      </c>
      <c r="C48" s="39" t="s">
        <v>151</v>
      </c>
      <c r="D48" s="39" t="str">
        <f t="shared" si="7"/>
        <v>21</v>
      </c>
      <c r="E48" s="42" t="str">
        <f t="shared" si="9"/>
        <v>31</v>
      </c>
      <c r="F48" s="39" t="s">
        <v>215</v>
      </c>
      <c r="G48" s="39" t="s">
        <v>68</v>
      </c>
      <c r="H48" s="39"/>
      <c r="I48" s="81" t="s">
        <v>216</v>
      </c>
      <c r="J48" s="84">
        <v>4.941207362E9</v>
      </c>
      <c r="K48" s="39" t="s">
        <v>108</v>
      </c>
      <c r="L48" s="39"/>
      <c r="M48" s="37"/>
    </row>
    <row r="49" hidden="1">
      <c r="A49" s="41">
        <v>47.0</v>
      </c>
      <c r="B49" s="41" t="s">
        <v>57</v>
      </c>
      <c r="C49" s="39" t="s">
        <v>151</v>
      </c>
      <c r="D49" s="39" t="str">
        <f t="shared" si="7"/>
        <v>23</v>
      </c>
      <c r="E49" s="42" t="str">
        <f>RIGHT(F49,3)</f>
        <v>03A</v>
      </c>
      <c r="F49" s="39" t="s">
        <v>218</v>
      </c>
      <c r="G49" s="39" t="s">
        <v>60</v>
      </c>
      <c r="H49" s="39"/>
      <c r="I49" s="81" t="s">
        <v>197</v>
      </c>
      <c r="J49" s="84">
        <v>5.202079108E9</v>
      </c>
      <c r="K49" s="39" t="s">
        <v>108</v>
      </c>
      <c r="L49" s="39"/>
      <c r="M49" s="37"/>
    </row>
    <row r="50" hidden="1">
      <c r="A50" s="41">
        <v>48.0</v>
      </c>
      <c r="B50" s="41" t="s">
        <v>57</v>
      </c>
      <c r="C50" s="39" t="s">
        <v>151</v>
      </c>
      <c r="D50" s="39" t="str">
        <f t="shared" si="7"/>
        <v>23</v>
      </c>
      <c r="E50" s="42" t="str">
        <f t="shared" ref="E50:E56" si="10">RIGHT(F50,2)</f>
        <v>05</v>
      </c>
      <c r="F50" s="39" t="s">
        <v>220</v>
      </c>
      <c r="G50" s="39" t="s">
        <v>60</v>
      </c>
      <c r="H50" s="39"/>
      <c r="I50" s="81" t="s">
        <v>222</v>
      </c>
      <c r="J50" s="84">
        <v>5.182918597E9</v>
      </c>
      <c r="K50" s="39" t="s">
        <v>108</v>
      </c>
      <c r="L50" s="39"/>
      <c r="M50" s="37"/>
    </row>
    <row r="51" hidden="1">
      <c r="A51" s="41">
        <v>49.0</v>
      </c>
      <c r="B51" s="41" t="s">
        <v>57</v>
      </c>
      <c r="C51" s="39" t="s">
        <v>151</v>
      </c>
      <c r="D51" s="39" t="str">
        <f t="shared" si="7"/>
        <v>23</v>
      </c>
      <c r="E51" s="42" t="str">
        <f t="shared" si="10"/>
        <v>08</v>
      </c>
      <c r="F51" s="39" t="s">
        <v>223</v>
      </c>
      <c r="G51" s="39" t="s">
        <v>89</v>
      </c>
      <c r="H51" s="39"/>
      <c r="I51" s="171">
        <v>46053.0</v>
      </c>
      <c r="J51" s="84">
        <v>3.334082194E9</v>
      </c>
      <c r="K51" s="39" t="s">
        <v>108</v>
      </c>
      <c r="L51" s="39"/>
      <c r="M51" s="37"/>
    </row>
    <row r="52" hidden="1">
      <c r="A52" s="41">
        <v>50.0</v>
      </c>
      <c r="B52" s="41" t="s">
        <v>57</v>
      </c>
      <c r="C52" s="39" t="s">
        <v>151</v>
      </c>
      <c r="D52" s="39" t="str">
        <f t="shared" si="7"/>
        <v>24</v>
      </c>
      <c r="E52" s="42" t="str">
        <f t="shared" si="10"/>
        <v>16</v>
      </c>
      <c r="F52" s="41" t="s">
        <v>225</v>
      </c>
      <c r="G52" s="39" t="s">
        <v>60</v>
      </c>
      <c r="H52" s="39"/>
      <c r="I52" s="81" t="s">
        <v>222</v>
      </c>
      <c r="J52" s="84">
        <v>4.060718938E9</v>
      </c>
      <c r="K52" s="39" t="s">
        <v>108</v>
      </c>
      <c r="L52" s="39"/>
      <c r="M52" s="37"/>
    </row>
    <row r="53" hidden="1">
      <c r="A53" s="41">
        <v>51.0</v>
      </c>
      <c r="B53" s="41" t="s">
        <v>57</v>
      </c>
      <c r="C53" s="39" t="s">
        <v>151</v>
      </c>
      <c r="D53" s="39" t="str">
        <f t="shared" si="7"/>
        <v>24</v>
      </c>
      <c r="E53" s="42" t="str">
        <f t="shared" si="10"/>
        <v>17</v>
      </c>
      <c r="F53" s="39" t="s">
        <v>227</v>
      </c>
      <c r="G53" s="39" t="s">
        <v>60</v>
      </c>
      <c r="H53" s="39"/>
      <c r="I53" s="81" t="s">
        <v>209</v>
      </c>
      <c r="J53" s="84">
        <v>4.284862464E9</v>
      </c>
      <c r="K53" s="39" t="s">
        <v>108</v>
      </c>
      <c r="L53" s="39"/>
      <c r="M53" s="37"/>
    </row>
    <row r="54" hidden="1">
      <c r="A54" s="41">
        <v>52.0</v>
      </c>
      <c r="B54" s="41" t="s">
        <v>57</v>
      </c>
      <c r="C54" s="181" t="s">
        <v>33</v>
      </c>
      <c r="D54" s="39" t="str">
        <f t="shared" ref="D54:D56" si="11">mid(F54,2,2)</f>
        <v>07</v>
      </c>
      <c r="E54" s="42" t="str">
        <f t="shared" si="10"/>
        <v>41</v>
      </c>
      <c r="F54" s="184" t="s">
        <v>231</v>
      </c>
      <c r="G54" s="184" t="s">
        <v>60</v>
      </c>
      <c r="H54" s="39"/>
      <c r="I54" s="184">
        <v>52.2</v>
      </c>
      <c r="J54" s="184" t="s">
        <v>232</v>
      </c>
      <c r="K54" s="18"/>
      <c r="L54" s="39"/>
    </row>
    <row r="55" hidden="1">
      <c r="A55" s="41">
        <v>53.0</v>
      </c>
      <c r="B55" s="41" t="s">
        <v>57</v>
      </c>
      <c r="C55" s="181" t="s">
        <v>33</v>
      </c>
      <c r="D55" s="39" t="str">
        <f t="shared" si="11"/>
        <v>23</v>
      </c>
      <c r="E55" s="42" t="str">
        <f t="shared" si="10"/>
        <v>22</v>
      </c>
      <c r="F55" s="184" t="s">
        <v>235</v>
      </c>
      <c r="G55" s="184" t="s">
        <v>60</v>
      </c>
      <c r="H55" s="39"/>
      <c r="I55" s="184">
        <v>49.1</v>
      </c>
      <c r="J55" s="184" t="s">
        <v>236</v>
      </c>
      <c r="K55" s="18"/>
      <c r="L55" s="39"/>
    </row>
    <row r="56" hidden="1">
      <c r="A56" s="41">
        <v>54.0</v>
      </c>
      <c r="B56" s="41" t="s">
        <v>57</v>
      </c>
      <c r="C56" s="181" t="s">
        <v>33</v>
      </c>
      <c r="D56" s="39" t="str">
        <f t="shared" si="11"/>
        <v>23</v>
      </c>
      <c r="E56" s="42" t="str">
        <f t="shared" si="10"/>
        <v>07</v>
      </c>
      <c r="F56" s="184" t="s">
        <v>238</v>
      </c>
      <c r="G56" s="184" t="s">
        <v>89</v>
      </c>
      <c r="H56" s="39"/>
      <c r="I56" s="184">
        <v>31.5</v>
      </c>
      <c r="J56" s="184" t="s">
        <v>239</v>
      </c>
      <c r="K56" s="18"/>
      <c r="L56" s="39"/>
    </row>
    <row r="57" hidden="1">
      <c r="A57" s="41">
        <v>55.0</v>
      </c>
      <c r="B57" s="41" t="s">
        <v>57</v>
      </c>
      <c r="C57" s="181" t="s">
        <v>33</v>
      </c>
      <c r="D57" s="41" t="s">
        <v>240</v>
      </c>
      <c r="E57" s="192" t="s">
        <v>241</v>
      </c>
      <c r="F57" s="184" t="s">
        <v>244</v>
      </c>
      <c r="G57" s="184" t="s">
        <v>89</v>
      </c>
      <c r="H57" s="39"/>
      <c r="I57" s="184">
        <v>30.7</v>
      </c>
      <c r="J57" s="184" t="s">
        <v>245</v>
      </c>
      <c r="K57" s="18"/>
      <c r="L57" s="39"/>
    </row>
    <row r="58" hidden="1">
      <c r="A58" s="41">
        <v>56.0</v>
      </c>
      <c r="B58" s="41" t="s">
        <v>57</v>
      </c>
      <c r="C58" s="181" t="s">
        <v>33</v>
      </c>
      <c r="D58" s="39" t="str">
        <f t="shared" ref="D58:D65" si="12">mid(F58,2,2)</f>
        <v>05</v>
      </c>
      <c r="E58" s="42" t="str">
        <f t="shared" ref="E58:E64" si="13">RIGHT(F58,2)</f>
        <v>09</v>
      </c>
      <c r="F58" s="184" t="s">
        <v>247</v>
      </c>
      <c r="G58" s="184" t="s">
        <v>60</v>
      </c>
      <c r="H58" s="39"/>
      <c r="I58" s="184">
        <v>54.0</v>
      </c>
      <c r="J58" s="184" t="s">
        <v>248</v>
      </c>
      <c r="K58" s="18"/>
      <c r="L58" s="39"/>
    </row>
    <row r="59" hidden="1">
      <c r="A59" s="41">
        <v>57.0</v>
      </c>
      <c r="B59" s="41" t="s">
        <v>57</v>
      </c>
      <c r="C59" s="181" t="s">
        <v>33</v>
      </c>
      <c r="D59" s="39" t="str">
        <f t="shared" si="12"/>
        <v>05</v>
      </c>
      <c r="E59" s="42" t="str">
        <f t="shared" si="13"/>
        <v>41</v>
      </c>
      <c r="F59" s="184" t="s">
        <v>250</v>
      </c>
      <c r="G59" s="184" t="s">
        <v>60</v>
      </c>
      <c r="H59" s="39"/>
      <c r="I59" s="184">
        <v>52.2</v>
      </c>
      <c r="J59" s="184" t="s">
        <v>251</v>
      </c>
      <c r="K59" s="18"/>
      <c r="L59" s="39"/>
    </row>
    <row r="60" hidden="1">
      <c r="A60" s="41">
        <v>58.0</v>
      </c>
      <c r="B60" s="41" t="s">
        <v>57</v>
      </c>
      <c r="C60" s="181" t="s">
        <v>33</v>
      </c>
      <c r="D60" s="39" t="str">
        <f t="shared" si="12"/>
        <v>06</v>
      </c>
      <c r="E60" s="42" t="str">
        <f t="shared" si="13"/>
        <v>31</v>
      </c>
      <c r="F60" s="184" t="s">
        <v>252</v>
      </c>
      <c r="G60" s="184" t="s">
        <v>60</v>
      </c>
      <c r="H60" s="39"/>
      <c r="I60" s="184">
        <v>54.0</v>
      </c>
      <c r="J60" s="184" t="s">
        <v>253</v>
      </c>
      <c r="K60" s="18"/>
      <c r="L60" s="39"/>
    </row>
    <row r="61" hidden="1">
      <c r="A61" s="41">
        <v>59.0</v>
      </c>
      <c r="B61" s="41" t="s">
        <v>57</v>
      </c>
      <c r="C61" s="181" t="s">
        <v>33</v>
      </c>
      <c r="D61" s="39" t="str">
        <f t="shared" si="12"/>
        <v>08</v>
      </c>
      <c r="E61" s="42" t="str">
        <f t="shared" si="13"/>
        <v>33</v>
      </c>
      <c r="F61" s="184" t="s">
        <v>255</v>
      </c>
      <c r="G61" s="184" t="s">
        <v>60</v>
      </c>
      <c r="H61" s="39"/>
      <c r="I61" s="184">
        <v>53.7</v>
      </c>
      <c r="J61" s="184" t="s">
        <v>257</v>
      </c>
      <c r="K61" s="18"/>
      <c r="L61" s="39"/>
    </row>
    <row r="62" hidden="1">
      <c r="A62" s="41">
        <v>60.0</v>
      </c>
      <c r="B62" s="41" t="s">
        <v>57</v>
      </c>
      <c r="C62" s="181" t="s">
        <v>33</v>
      </c>
      <c r="D62" s="39" t="str">
        <f t="shared" si="12"/>
        <v>08</v>
      </c>
      <c r="E62" s="42" t="str">
        <f t="shared" si="13"/>
        <v>35</v>
      </c>
      <c r="F62" s="184" t="s">
        <v>258</v>
      </c>
      <c r="G62" s="184" t="s">
        <v>60</v>
      </c>
      <c r="H62" s="39"/>
      <c r="I62" s="184">
        <v>53.7</v>
      </c>
      <c r="J62" s="184" t="s">
        <v>257</v>
      </c>
      <c r="K62" s="18"/>
      <c r="L62" s="39"/>
    </row>
    <row r="63" hidden="1">
      <c r="A63" s="41">
        <v>61.0</v>
      </c>
      <c r="B63" s="41" t="s">
        <v>57</v>
      </c>
      <c r="C63" s="181" t="s">
        <v>33</v>
      </c>
      <c r="D63" s="39" t="str">
        <f t="shared" si="12"/>
        <v>08</v>
      </c>
      <c r="E63" s="42" t="str">
        <f t="shared" si="13"/>
        <v>42</v>
      </c>
      <c r="F63" s="184" t="s">
        <v>259</v>
      </c>
      <c r="G63" s="184" t="s">
        <v>60</v>
      </c>
      <c r="H63" s="39"/>
      <c r="I63" s="184">
        <v>55.7</v>
      </c>
      <c r="J63" s="184" t="s">
        <v>260</v>
      </c>
      <c r="K63" s="18"/>
      <c r="L63" s="39"/>
    </row>
    <row r="64" hidden="1">
      <c r="A64" s="41">
        <v>62.0</v>
      </c>
      <c r="B64" s="41" t="s">
        <v>57</v>
      </c>
      <c r="C64" s="181" t="s">
        <v>33</v>
      </c>
      <c r="D64" s="39" t="str">
        <f t="shared" si="12"/>
        <v>08</v>
      </c>
      <c r="E64" s="42" t="str">
        <f t="shared" si="13"/>
        <v>45</v>
      </c>
      <c r="F64" s="184" t="s">
        <v>262</v>
      </c>
      <c r="G64" s="184" t="s">
        <v>68</v>
      </c>
      <c r="H64" s="39"/>
      <c r="I64" s="184">
        <v>71.1</v>
      </c>
      <c r="J64" s="184" t="s">
        <v>263</v>
      </c>
      <c r="K64" s="18"/>
      <c r="L64" s="39"/>
    </row>
    <row r="65" hidden="1">
      <c r="A65" s="41">
        <v>63.0</v>
      </c>
      <c r="B65" s="41" t="s">
        <v>57</v>
      </c>
      <c r="C65" s="181" t="s">
        <v>33</v>
      </c>
      <c r="D65" s="39" t="str">
        <f t="shared" si="12"/>
        <v>09</v>
      </c>
      <c r="E65" s="42" t="str">
        <f t="shared" ref="E65:E66" si="14">RIGHT(F65,3)</f>
        <v>43A</v>
      </c>
      <c r="F65" s="184" t="s">
        <v>264</v>
      </c>
      <c r="G65" s="184" t="s">
        <v>89</v>
      </c>
      <c r="H65" s="39"/>
      <c r="I65" s="184">
        <v>30.7</v>
      </c>
      <c r="J65" s="184" t="s">
        <v>265</v>
      </c>
      <c r="K65" s="18"/>
      <c r="L65" s="39"/>
    </row>
    <row r="66" hidden="1">
      <c r="A66" s="41">
        <v>64.0</v>
      </c>
      <c r="B66" s="41" t="s">
        <v>57</v>
      </c>
      <c r="C66" s="181" t="s">
        <v>33</v>
      </c>
      <c r="D66" s="41">
        <v>12.0</v>
      </c>
      <c r="E66" s="42" t="str">
        <f t="shared" si="14"/>
        <v>43A</v>
      </c>
      <c r="F66" s="184" t="s">
        <v>266</v>
      </c>
      <c r="G66" s="184" t="s">
        <v>89</v>
      </c>
      <c r="H66" s="39"/>
      <c r="I66" s="184">
        <v>30.7</v>
      </c>
      <c r="J66" s="184" t="s">
        <v>268</v>
      </c>
      <c r="K66" s="18"/>
      <c r="L66" s="39"/>
    </row>
    <row r="67" hidden="1">
      <c r="A67" s="41">
        <v>65.0</v>
      </c>
      <c r="B67" s="41" t="s">
        <v>57</v>
      </c>
      <c r="C67" s="181" t="s">
        <v>33</v>
      </c>
      <c r="D67" s="41" t="s">
        <v>269</v>
      </c>
      <c r="E67" s="42" t="str">
        <f t="shared" ref="E67:E70" si="15">RIGHT(F67,2)</f>
        <v>38</v>
      </c>
      <c r="F67" s="184" t="s">
        <v>270</v>
      </c>
      <c r="G67" s="184" t="s">
        <v>60</v>
      </c>
      <c r="H67" s="39"/>
      <c r="I67" s="184">
        <v>54.1</v>
      </c>
      <c r="J67" s="184" t="s">
        <v>271</v>
      </c>
      <c r="K67" s="18"/>
      <c r="L67" s="39"/>
    </row>
    <row r="68" hidden="1">
      <c r="A68" s="41">
        <v>66.0</v>
      </c>
      <c r="B68" s="41" t="s">
        <v>57</v>
      </c>
      <c r="C68" s="181" t="s">
        <v>33</v>
      </c>
      <c r="D68" s="39" t="str">
        <f t="shared" ref="D68:D70" si="16">mid(F68,2,2)</f>
        <v>17</v>
      </c>
      <c r="E68" s="42" t="str">
        <f t="shared" si="15"/>
        <v>37</v>
      </c>
      <c r="F68" s="184" t="s">
        <v>273</v>
      </c>
      <c r="G68" s="184" t="s">
        <v>60</v>
      </c>
      <c r="H68" s="39"/>
      <c r="I68" s="184">
        <v>54.1</v>
      </c>
      <c r="J68" s="184" t="s">
        <v>276</v>
      </c>
      <c r="K68" s="18"/>
      <c r="L68" s="39"/>
    </row>
    <row r="69" hidden="1">
      <c r="A69" s="41">
        <v>67.0</v>
      </c>
      <c r="B69" s="41" t="s">
        <v>57</v>
      </c>
      <c r="C69" s="181" t="s">
        <v>33</v>
      </c>
      <c r="D69" s="39" t="str">
        <f t="shared" si="16"/>
        <v>18</v>
      </c>
      <c r="E69" s="42" t="str">
        <f t="shared" si="15"/>
        <v>03</v>
      </c>
      <c r="F69" s="184" t="s">
        <v>278</v>
      </c>
      <c r="G69" s="184" t="s">
        <v>60</v>
      </c>
      <c r="H69" s="39"/>
      <c r="I69" s="184">
        <v>54.1</v>
      </c>
      <c r="J69" s="184" t="s">
        <v>279</v>
      </c>
      <c r="K69" s="18"/>
      <c r="L69" s="39"/>
    </row>
    <row r="70" hidden="1">
      <c r="A70" s="41">
        <v>68.0</v>
      </c>
      <c r="B70" s="41" t="s">
        <v>57</v>
      </c>
      <c r="C70" s="181" t="s">
        <v>33</v>
      </c>
      <c r="D70" s="39" t="str">
        <f t="shared" si="16"/>
        <v>22</v>
      </c>
      <c r="E70" s="42" t="str">
        <f t="shared" si="15"/>
        <v>09</v>
      </c>
      <c r="F70" s="184" t="s">
        <v>280</v>
      </c>
      <c r="G70" s="184" t="s">
        <v>60</v>
      </c>
      <c r="H70" s="39"/>
      <c r="I70" s="184">
        <v>54.0</v>
      </c>
      <c r="J70" s="184" t="s">
        <v>282</v>
      </c>
      <c r="K70" s="18"/>
      <c r="L70" s="39"/>
    </row>
    <row r="71" hidden="1">
      <c r="A71" s="41">
        <v>69.0</v>
      </c>
      <c r="B71" s="41"/>
      <c r="C71" s="39"/>
      <c r="D71" s="39"/>
      <c r="E71" s="42"/>
      <c r="F71" s="39"/>
      <c r="G71" s="39"/>
      <c r="H71" s="39"/>
      <c r="I71" s="39"/>
      <c r="J71" s="41"/>
      <c r="K71" s="18"/>
      <c r="L71" s="39"/>
    </row>
    <row r="72" hidden="1">
      <c r="A72" s="41">
        <v>70.0</v>
      </c>
      <c r="B72" s="41"/>
      <c r="C72" s="39"/>
      <c r="D72" s="39"/>
      <c r="E72" s="42"/>
      <c r="F72" s="39"/>
      <c r="G72" s="39"/>
      <c r="H72" s="39"/>
      <c r="I72" s="39"/>
      <c r="J72" s="41"/>
      <c r="K72" s="18"/>
      <c r="L72" s="39"/>
    </row>
    <row r="73" hidden="1">
      <c r="A73" s="41">
        <v>71.0</v>
      </c>
      <c r="B73" s="41"/>
      <c r="C73" s="39"/>
      <c r="D73" s="39"/>
      <c r="E73" s="42"/>
      <c r="F73" s="39"/>
      <c r="G73" s="39"/>
      <c r="H73" s="39"/>
      <c r="I73" s="39"/>
      <c r="J73" s="41"/>
      <c r="K73" s="18"/>
      <c r="L73" s="39"/>
    </row>
    <row r="74" hidden="1">
      <c r="A74" s="41">
        <v>72.0</v>
      </c>
      <c r="B74" s="41"/>
      <c r="C74" s="39"/>
      <c r="D74" s="39"/>
      <c r="E74" s="42"/>
      <c r="F74" s="39"/>
      <c r="G74" s="39"/>
      <c r="H74" s="39"/>
      <c r="I74" s="39"/>
      <c r="J74" s="41"/>
      <c r="K74" s="18"/>
      <c r="L74" s="39"/>
    </row>
    <row r="75" hidden="1">
      <c r="A75" s="41">
        <v>74.0</v>
      </c>
      <c r="B75" s="41" t="s">
        <v>285</v>
      </c>
      <c r="C75" s="39" t="s">
        <v>51</v>
      </c>
      <c r="D75" s="39" t="str">
        <f t="shared" ref="D75:D77" si="17">mid(F75,3,3)</f>
        <v>03A</v>
      </c>
      <c r="E75" s="42" t="str">
        <f t="shared" ref="E75:E76" si="18">RIGHT(F75,2)</f>
        <v>29</v>
      </c>
      <c r="F75" s="39" t="s">
        <v>293</v>
      </c>
      <c r="G75" s="39" t="s">
        <v>53</v>
      </c>
      <c r="H75" s="39">
        <v>61.0</v>
      </c>
      <c r="I75" s="39" t="s">
        <v>99</v>
      </c>
      <c r="J75" s="39" t="s">
        <v>294</v>
      </c>
      <c r="K75" s="18"/>
      <c r="L75" s="211" t="s">
        <v>295</v>
      </c>
    </row>
    <row r="76" hidden="1">
      <c r="A76" s="41">
        <v>75.0</v>
      </c>
      <c r="B76" s="41" t="s">
        <v>285</v>
      </c>
      <c r="C76" s="39" t="s">
        <v>51</v>
      </c>
      <c r="D76" s="39" t="str">
        <f t="shared" si="17"/>
        <v>03A</v>
      </c>
      <c r="E76" s="42" t="str">
        <f t="shared" si="18"/>
        <v>32</v>
      </c>
      <c r="F76" s="39" t="s">
        <v>298</v>
      </c>
      <c r="G76" s="39" t="s">
        <v>89</v>
      </c>
      <c r="H76" s="39" t="s">
        <v>299</v>
      </c>
      <c r="I76" s="39" t="s">
        <v>300</v>
      </c>
      <c r="J76" s="39" t="s">
        <v>301</v>
      </c>
      <c r="K76" s="18"/>
      <c r="L76" s="211" t="s">
        <v>302</v>
      </c>
    </row>
    <row r="77" hidden="1">
      <c r="A77" s="41">
        <v>76.0</v>
      </c>
      <c r="B77" s="41" t="s">
        <v>285</v>
      </c>
      <c r="C77" s="39" t="s">
        <v>51</v>
      </c>
      <c r="D77" s="39" t="str">
        <f t="shared" si="17"/>
        <v>03A</v>
      </c>
      <c r="E77" s="42" t="str">
        <f t="shared" ref="E77:E78" si="19">RIGHT(F77,3)</f>
        <v>03A</v>
      </c>
      <c r="F77" s="39" t="s">
        <v>303</v>
      </c>
      <c r="G77" s="39" t="s">
        <v>24</v>
      </c>
      <c r="H77" s="39">
        <v>80.0</v>
      </c>
      <c r="I77" s="39" t="s">
        <v>305</v>
      </c>
      <c r="J77" s="39" t="s">
        <v>306</v>
      </c>
      <c r="K77" s="18"/>
      <c r="L77" s="211" t="s">
        <v>307</v>
      </c>
    </row>
    <row r="78" hidden="1">
      <c r="A78" s="41">
        <v>77.0</v>
      </c>
      <c r="B78" s="41" t="s">
        <v>285</v>
      </c>
      <c r="C78" s="39" t="s">
        <v>51</v>
      </c>
      <c r="D78" s="39" t="str">
        <f t="shared" ref="D78:D85" si="20">mid(F78,3,2)</f>
        <v>05</v>
      </c>
      <c r="E78" s="42" t="str">
        <f t="shared" si="19"/>
        <v>12A</v>
      </c>
      <c r="F78" s="39" t="s">
        <v>308</v>
      </c>
      <c r="G78" s="39" t="s">
        <v>53</v>
      </c>
      <c r="H78" s="39" t="s">
        <v>158</v>
      </c>
      <c r="I78" s="39" t="s">
        <v>222</v>
      </c>
      <c r="J78" s="84" t="s">
        <v>309</v>
      </c>
      <c r="K78" s="18"/>
      <c r="L78" s="211" t="s">
        <v>310</v>
      </c>
    </row>
    <row r="79" hidden="1">
      <c r="A79" s="41">
        <v>78.0</v>
      </c>
      <c r="B79" s="41" t="s">
        <v>285</v>
      </c>
      <c r="C79" s="39" t="s">
        <v>51</v>
      </c>
      <c r="D79" s="39" t="str">
        <f t="shared" si="20"/>
        <v>06</v>
      </c>
      <c r="E79" s="42" t="str">
        <f t="shared" ref="E79:E102" si="21">RIGHT(F79,2)</f>
        <v>06</v>
      </c>
      <c r="F79" s="39" t="s">
        <v>313</v>
      </c>
      <c r="G79" s="39" t="s">
        <v>24</v>
      </c>
      <c r="H79" s="39">
        <v>74.6</v>
      </c>
      <c r="I79" s="39">
        <v>66.7</v>
      </c>
      <c r="J79" s="84">
        <v>6.002389865E9</v>
      </c>
      <c r="K79" s="18"/>
      <c r="L79" s="211" t="s">
        <v>313</v>
      </c>
    </row>
    <row r="80" hidden="1">
      <c r="A80" s="41">
        <v>79.0</v>
      </c>
      <c r="B80" s="41" t="s">
        <v>285</v>
      </c>
      <c r="C80" s="39" t="s">
        <v>51</v>
      </c>
      <c r="D80" s="39" t="str">
        <f t="shared" si="20"/>
        <v>07</v>
      </c>
      <c r="E80" s="42" t="str">
        <f t="shared" si="21"/>
        <v>30</v>
      </c>
      <c r="F80" s="39" t="s">
        <v>317</v>
      </c>
      <c r="G80" s="39" t="s">
        <v>24</v>
      </c>
      <c r="H80" s="39" t="s">
        <v>318</v>
      </c>
      <c r="I80" s="39" t="s">
        <v>69</v>
      </c>
      <c r="J80" s="84" t="s">
        <v>319</v>
      </c>
      <c r="K80" s="18"/>
      <c r="L80" s="211" t="s">
        <v>317</v>
      </c>
    </row>
    <row r="81" hidden="1">
      <c r="A81" s="41">
        <v>80.0</v>
      </c>
      <c r="B81" s="41" t="s">
        <v>285</v>
      </c>
      <c r="C81" s="39" t="s">
        <v>51</v>
      </c>
      <c r="D81" s="39" t="str">
        <f t="shared" si="20"/>
        <v>09</v>
      </c>
      <c r="E81" s="42" t="str">
        <f t="shared" si="21"/>
        <v>21</v>
      </c>
      <c r="F81" s="39" t="s">
        <v>320</v>
      </c>
      <c r="G81" s="39" t="s">
        <v>53</v>
      </c>
      <c r="H81" s="39" t="s">
        <v>158</v>
      </c>
      <c r="I81" s="39" t="s">
        <v>129</v>
      </c>
      <c r="J81" s="39" t="s">
        <v>324</v>
      </c>
      <c r="K81" s="18"/>
      <c r="L81" s="211" t="s">
        <v>325</v>
      </c>
    </row>
    <row r="82" hidden="1">
      <c r="A82" s="41">
        <v>81.0</v>
      </c>
      <c r="B82" s="41" t="s">
        <v>285</v>
      </c>
      <c r="C82" s="39" t="s">
        <v>51</v>
      </c>
      <c r="D82" s="39" t="str">
        <f t="shared" si="20"/>
        <v>09</v>
      </c>
      <c r="E82" s="42" t="str">
        <f t="shared" si="21"/>
        <v>17</v>
      </c>
      <c r="F82" s="39" t="s">
        <v>326</v>
      </c>
      <c r="G82" s="39" t="s">
        <v>24</v>
      </c>
      <c r="H82" s="39" t="s">
        <v>327</v>
      </c>
      <c r="I82" s="39" t="s">
        <v>328</v>
      </c>
      <c r="J82" s="84" t="s">
        <v>329</v>
      </c>
      <c r="K82" s="18"/>
      <c r="L82" s="211" t="s">
        <v>332</v>
      </c>
    </row>
    <row r="83" hidden="1">
      <c r="A83" s="41">
        <v>82.0</v>
      </c>
      <c r="B83" s="41" t="s">
        <v>285</v>
      </c>
      <c r="C83" s="39" t="s">
        <v>51</v>
      </c>
      <c r="D83" s="39" t="str">
        <f t="shared" si="20"/>
        <v>09</v>
      </c>
      <c r="E83" s="42" t="str">
        <f t="shared" si="21"/>
        <v>28</v>
      </c>
      <c r="F83" s="39" t="s">
        <v>334</v>
      </c>
      <c r="G83" s="39" t="s">
        <v>24</v>
      </c>
      <c r="H83" s="39" t="s">
        <v>335</v>
      </c>
      <c r="I83" s="39" t="s">
        <v>72</v>
      </c>
      <c r="J83" s="39" t="s">
        <v>336</v>
      </c>
      <c r="K83" s="18"/>
      <c r="L83" s="211" t="s">
        <v>337</v>
      </c>
    </row>
    <row r="84" hidden="1">
      <c r="A84" s="41">
        <v>84.0</v>
      </c>
      <c r="B84" s="41" t="s">
        <v>285</v>
      </c>
      <c r="C84" s="39" t="s">
        <v>51</v>
      </c>
      <c r="D84" s="39" t="str">
        <f t="shared" si="20"/>
        <v>22</v>
      </c>
      <c r="E84" s="42" t="str">
        <f t="shared" si="21"/>
        <v>02</v>
      </c>
      <c r="F84" s="39" t="s">
        <v>338</v>
      </c>
      <c r="G84" s="39" t="s">
        <v>53</v>
      </c>
      <c r="H84" s="39" t="s">
        <v>339</v>
      </c>
      <c r="I84" s="39" t="s">
        <v>76</v>
      </c>
      <c r="J84" s="84" t="s">
        <v>340</v>
      </c>
      <c r="K84" s="18"/>
      <c r="L84" s="211" t="s">
        <v>338</v>
      </c>
    </row>
    <row r="85" hidden="1">
      <c r="A85" s="41">
        <v>85.0</v>
      </c>
      <c r="B85" s="41" t="s">
        <v>285</v>
      </c>
      <c r="C85" s="39" t="s">
        <v>51</v>
      </c>
      <c r="D85" s="39" t="str">
        <f t="shared" si="20"/>
        <v>23</v>
      </c>
      <c r="E85" s="42" t="str">
        <f t="shared" si="21"/>
        <v>06</v>
      </c>
      <c r="F85" s="39" t="s">
        <v>341</v>
      </c>
      <c r="G85" s="39" t="s">
        <v>24</v>
      </c>
      <c r="H85" s="39" t="s">
        <v>342</v>
      </c>
      <c r="I85" s="39" t="s">
        <v>343</v>
      </c>
      <c r="J85" s="39" t="s">
        <v>344</v>
      </c>
      <c r="K85" s="18"/>
      <c r="L85" s="211" t="s">
        <v>341</v>
      </c>
    </row>
    <row r="86" hidden="1">
      <c r="A86" s="41">
        <v>86.0</v>
      </c>
      <c r="B86" s="41" t="s">
        <v>285</v>
      </c>
      <c r="C86" s="42" t="s">
        <v>33</v>
      </c>
      <c r="D86" s="39" t="str">
        <f t="shared" ref="D86:D95" si="22">mid(F86,2,2)</f>
        <v>05</v>
      </c>
      <c r="E86" s="42" t="str">
        <f t="shared" si="21"/>
        <v>03</v>
      </c>
      <c r="F86" s="42" t="s">
        <v>347</v>
      </c>
      <c r="G86" s="42" t="s">
        <v>53</v>
      </c>
      <c r="H86" s="42" t="s">
        <v>161</v>
      </c>
      <c r="I86" s="219" t="s">
        <v>222</v>
      </c>
      <c r="J86" s="220" t="s">
        <v>348</v>
      </c>
      <c r="K86" s="18"/>
      <c r="L86" s="221" t="s">
        <v>349</v>
      </c>
    </row>
    <row r="87" hidden="1">
      <c r="A87" s="41">
        <v>87.0</v>
      </c>
      <c r="B87" s="41" t="s">
        <v>285</v>
      </c>
      <c r="C87" s="42" t="s">
        <v>33</v>
      </c>
      <c r="D87" s="39" t="str">
        <f t="shared" si="22"/>
        <v>05</v>
      </c>
      <c r="E87" s="42" t="str">
        <f t="shared" si="21"/>
        <v>06</v>
      </c>
      <c r="F87" s="42" t="s">
        <v>350</v>
      </c>
      <c r="G87" s="42" t="s">
        <v>53</v>
      </c>
      <c r="H87" s="42" t="s">
        <v>158</v>
      </c>
      <c r="I87" s="219" t="s">
        <v>129</v>
      </c>
      <c r="J87" s="220" t="s">
        <v>351</v>
      </c>
      <c r="K87" s="18"/>
      <c r="L87" s="221" t="s">
        <v>352</v>
      </c>
    </row>
    <row r="88" hidden="1">
      <c r="A88" s="41">
        <v>88.0</v>
      </c>
      <c r="B88" s="41" t="s">
        <v>285</v>
      </c>
      <c r="C88" s="42" t="s">
        <v>33</v>
      </c>
      <c r="D88" s="39" t="str">
        <f t="shared" si="22"/>
        <v>08</v>
      </c>
      <c r="E88" s="42" t="str">
        <f t="shared" si="21"/>
        <v>39</v>
      </c>
      <c r="F88" s="42" t="s">
        <v>354</v>
      </c>
      <c r="G88" s="42" t="s">
        <v>24</v>
      </c>
      <c r="H88" s="42">
        <v>72.0</v>
      </c>
      <c r="I88" s="219" t="s">
        <v>355</v>
      </c>
      <c r="J88" s="47" t="s">
        <v>356</v>
      </c>
      <c r="K88" s="18"/>
      <c r="L88" s="221" t="s">
        <v>357</v>
      </c>
    </row>
    <row r="89" hidden="1">
      <c r="A89" s="41">
        <v>89.0</v>
      </c>
      <c r="B89" s="41" t="s">
        <v>285</v>
      </c>
      <c r="C89" s="42" t="s">
        <v>33</v>
      </c>
      <c r="D89" s="39" t="str">
        <f t="shared" si="22"/>
        <v>07</v>
      </c>
      <c r="E89" s="42" t="str">
        <f t="shared" si="21"/>
        <v>32</v>
      </c>
      <c r="F89" s="225" t="s">
        <v>361</v>
      </c>
      <c r="G89" s="42" t="s">
        <v>89</v>
      </c>
      <c r="H89" s="42" t="s">
        <v>362</v>
      </c>
      <c r="I89" s="219" t="s">
        <v>363</v>
      </c>
      <c r="J89" s="220" t="s">
        <v>364</v>
      </c>
      <c r="K89" s="18"/>
      <c r="L89" s="53" t="s">
        <v>365</v>
      </c>
    </row>
    <row r="90" hidden="1">
      <c r="A90" s="41">
        <v>90.0</v>
      </c>
      <c r="B90" s="41" t="s">
        <v>285</v>
      </c>
      <c r="C90" s="42" t="s">
        <v>33</v>
      </c>
      <c r="D90" s="39" t="str">
        <f t="shared" si="22"/>
        <v>07</v>
      </c>
      <c r="E90" s="42" t="str">
        <f t="shared" si="21"/>
        <v>41</v>
      </c>
      <c r="F90" s="225" t="s">
        <v>366</v>
      </c>
      <c r="G90" s="42" t="s">
        <v>53</v>
      </c>
      <c r="H90" s="42" t="s">
        <v>164</v>
      </c>
      <c r="I90" s="219" t="s">
        <v>288</v>
      </c>
      <c r="J90" s="220" t="s">
        <v>232</v>
      </c>
      <c r="K90" s="18"/>
      <c r="L90" s="53" t="s">
        <v>367</v>
      </c>
    </row>
    <row r="91" hidden="1">
      <c r="A91" s="41">
        <v>91.0</v>
      </c>
      <c r="B91" s="41" t="s">
        <v>285</v>
      </c>
      <c r="C91" s="42" t="s">
        <v>33</v>
      </c>
      <c r="D91" s="39" t="str">
        <f t="shared" si="22"/>
        <v>08</v>
      </c>
      <c r="E91" s="42" t="str">
        <f t="shared" si="21"/>
        <v>37</v>
      </c>
      <c r="F91" s="225" t="s">
        <v>370</v>
      </c>
      <c r="G91" s="42" t="s">
        <v>53</v>
      </c>
      <c r="H91" s="42" t="s">
        <v>161</v>
      </c>
      <c r="I91" s="219" t="s">
        <v>222</v>
      </c>
      <c r="J91" s="47" t="s">
        <v>371</v>
      </c>
      <c r="K91" s="18"/>
      <c r="L91" s="53" t="s">
        <v>372</v>
      </c>
    </row>
    <row r="92" hidden="1">
      <c r="A92" s="41">
        <v>92.0</v>
      </c>
      <c r="B92" s="41" t="s">
        <v>285</v>
      </c>
      <c r="C92" s="42" t="s">
        <v>33</v>
      </c>
      <c r="D92" s="39" t="str">
        <f t="shared" si="22"/>
        <v>15</v>
      </c>
      <c r="E92" s="42" t="str">
        <f t="shared" si="21"/>
        <v>32</v>
      </c>
      <c r="F92" s="225" t="s">
        <v>373</v>
      </c>
      <c r="G92" s="42" t="s">
        <v>89</v>
      </c>
      <c r="H92" s="42" t="s">
        <v>362</v>
      </c>
      <c r="I92" s="219" t="s">
        <v>363</v>
      </c>
      <c r="J92" s="47" t="s">
        <v>374</v>
      </c>
      <c r="K92" s="18"/>
      <c r="L92" s="53" t="s">
        <v>375</v>
      </c>
    </row>
    <row r="93" hidden="1">
      <c r="A93" s="41">
        <v>93.0</v>
      </c>
      <c r="B93" s="41" t="s">
        <v>285</v>
      </c>
      <c r="C93" s="42" t="s">
        <v>33</v>
      </c>
      <c r="D93" s="39" t="str">
        <f t="shared" si="22"/>
        <v>15</v>
      </c>
      <c r="E93" s="42" t="str">
        <f t="shared" si="21"/>
        <v>41</v>
      </c>
      <c r="F93" s="225" t="s">
        <v>377</v>
      </c>
      <c r="G93" s="42" t="s">
        <v>53</v>
      </c>
      <c r="H93" s="42"/>
      <c r="I93" s="219" t="s">
        <v>288</v>
      </c>
      <c r="J93" s="220" t="s">
        <v>379</v>
      </c>
      <c r="K93" s="18"/>
      <c r="L93" s="53" t="s">
        <v>380</v>
      </c>
    </row>
    <row r="94" hidden="1">
      <c r="A94" s="41">
        <v>94.0</v>
      </c>
      <c r="B94" s="41" t="s">
        <v>285</v>
      </c>
      <c r="C94" s="42" t="s">
        <v>33</v>
      </c>
      <c r="D94" s="39" t="str">
        <f t="shared" si="22"/>
        <v>23</v>
      </c>
      <c r="E94" s="42" t="str">
        <f t="shared" si="21"/>
        <v>11</v>
      </c>
      <c r="F94" s="225" t="s">
        <v>381</v>
      </c>
      <c r="G94" s="42" t="s">
        <v>24</v>
      </c>
      <c r="H94" s="42">
        <v>77.0</v>
      </c>
      <c r="I94" s="219" t="s">
        <v>382</v>
      </c>
      <c r="J94" s="47" t="s">
        <v>383</v>
      </c>
      <c r="K94" s="18"/>
      <c r="L94" s="53" t="s">
        <v>384</v>
      </c>
    </row>
    <row r="95" hidden="1">
      <c r="A95" s="41">
        <v>95.0</v>
      </c>
      <c r="B95" s="41" t="s">
        <v>285</v>
      </c>
      <c r="C95" s="42" t="s">
        <v>33</v>
      </c>
      <c r="D95" s="39" t="str">
        <f t="shared" si="22"/>
        <v>23</v>
      </c>
      <c r="E95" s="42" t="str">
        <f t="shared" si="21"/>
        <v>06</v>
      </c>
      <c r="F95" s="225" t="s">
        <v>389</v>
      </c>
      <c r="G95" s="42" t="s">
        <v>53</v>
      </c>
      <c r="H95" s="42" t="s">
        <v>158</v>
      </c>
      <c r="I95" s="219" t="s">
        <v>129</v>
      </c>
      <c r="J95" s="47" t="s">
        <v>390</v>
      </c>
      <c r="K95" s="18"/>
      <c r="L95" s="53" t="s">
        <v>391</v>
      </c>
    </row>
    <row r="96" hidden="1">
      <c r="A96" s="41">
        <v>96.0</v>
      </c>
      <c r="B96" s="41" t="s">
        <v>285</v>
      </c>
      <c r="C96" s="42" t="s">
        <v>33</v>
      </c>
      <c r="D96" s="39" t="str">
        <f>mid(F96,2,3)</f>
        <v>12B</v>
      </c>
      <c r="E96" s="42" t="str">
        <f t="shared" si="21"/>
        <v>37</v>
      </c>
      <c r="F96" s="42" t="s">
        <v>397</v>
      </c>
      <c r="G96" s="42" t="s">
        <v>53</v>
      </c>
      <c r="H96" s="42" t="s">
        <v>161</v>
      </c>
      <c r="I96" s="219" t="s">
        <v>222</v>
      </c>
      <c r="J96" s="220" t="s">
        <v>271</v>
      </c>
      <c r="K96" s="18"/>
      <c r="L96" s="221" t="s">
        <v>398</v>
      </c>
    </row>
    <row r="97" hidden="1">
      <c r="A97" s="41">
        <v>97.0</v>
      </c>
      <c r="B97" s="41" t="s">
        <v>285</v>
      </c>
      <c r="C97" s="42" t="s">
        <v>33</v>
      </c>
      <c r="D97" s="39" t="str">
        <f>mid(F97,2,2)</f>
        <v>22</v>
      </c>
      <c r="E97" s="42" t="str">
        <f t="shared" si="21"/>
        <v>01</v>
      </c>
      <c r="F97" s="42" t="s">
        <v>402</v>
      </c>
      <c r="G97" s="42" t="s">
        <v>24</v>
      </c>
      <c r="H97" s="42">
        <v>77.0</v>
      </c>
      <c r="I97" s="219" t="s">
        <v>403</v>
      </c>
      <c r="J97" s="220" t="s">
        <v>404</v>
      </c>
      <c r="K97" s="18"/>
      <c r="L97" s="221" t="s">
        <v>405</v>
      </c>
    </row>
    <row r="98" hidden="1">
      <c r="A98" s="41">
        <v>98.0</v>
      </c>
      <c r="B98" s="41" t="s">
        <v>285</v>
      </c>
      <c r="C98" s="42" t="s">
        <v>22</v>
      </c>
      <c r="D98" s="39" t="str">
        <f t="shared" ref="D98:D124" si="23">mid(F98,3,2)</f>
        <v>12</v>
      </c>
      <c r="E98" s="42" t="str">
        <f t="shared" si="21"/>
        <v>02</v>
      </c>
      <c r="F98" s="225" t="s">
        <v>408</v>
      </c>
      <c r="G98" s="42" t="s">
        <v>53</v>
      </c>
      <c r="H98" s="42" t="s">
        <v>158</v>
      </c>
      <c r="I98" s="219" t="s">
        <v>157</v>
      </c>
      <c r="J98" s="252" t="s">
        <v>409</v>
      </c>
      <c r="K98" s="18"/>
      <c r="L98" s="53" t="s">
        <v>410</v>
      </c>
    </row>
    <row r="99" hidden="1">
      <c r="A99" s="41">
        <v>99.0</v>
      </c>
      <c r="B99" s="41" t="s">
        <v>285</v>
      </c>
      <c r="C99" s="42" t="s">
        <v>22</v>
      </c>
      <c r="D99" s="39" t="str">
        <f t="shared" si="23"/>
        <v>24</v>
      </c>
      <c r="E99" s="42" t="str">
        <f t="shared" si="21"/>
        <v>29</v>
      </c>
      <c r="F99" s="225" t="s">
        <v>415</v>
      </c>
      <c r="G99" s="42" t="s">
        <v>53</v>
      </c>
      <c r="H99" s="42"/>
      <c r="I99" s="219" t="s">
        <v>76</v>
      </c>
      <c r="J99" s="220" t="s">
        <v>416</v>
      </c>
      <c r="K99" s="18"/>
      <c r="L99" s="53" t="s">
        <v>417</v>
      </c>
    </row>
    <row r="100" hidden="1">
      <c r="A100" s="41">
        <v>100.0</v>
      </c>
      <c r="B100" s="41" t="s">
        <v>285</v>
      </c>
      <c r="C100" s="42" t="s">
        <v>22</v>
      </c>
      <c r="D100" s="39" t="str">
        <f t="shared" si="23"/>
        <v>07</v>
      </c>
      <c r="E100" s="42" t="str">
        <f t="shared" si="21"/>
        <v>24</v>
      </c>
      <c r="F100" s="225" t="s">
        <v>423</v>
      </c>
      <c r="G100" s="42" t="s">
        <v>89</v>
      </c>
      <c r="H100" s="42" t="s">
        <v>425</v>
      </c>
      <c r="I100" s="219" t="s">
        <v>426</v>
      </c>
      <c r="J100" s="220" t="s">
        <v>427</v>
      </c>
      <c r="K100" s="18"/>
      <c r="L100" s="53" t="s">
        <v>428</v>
      </c>
    </row>
    <row r="101" hidden="1">
      <c r="A101" s="41">
        <v>101.0</v>
      </c>
      <c r="B101" s="41" t="s">
        <v>285</v>
      </c>
      <c r="C101" s="42" t="s">
        <v>22</v>
      </c>
      <c r="D101" s="39" t="str">
        <f t="shared" si="23"/>
        <v>17</v>
      </c>
      <c r="E101" s="42" t="str">
        <f t="shared" si="21"/>
        <v>10</v>
      </c>
      <c r="F101" s="42" t="s">
        <v>430</v>
      </c>
      <c r="G101" s="42" t="s">
        <v>53</v>
      </c>
      <c r="H101" s="42" t="s">
        <v>161</v>
      </c>
      <c r="I101" s="219" t="s">
        <v>61</v>
      </c>
      <c r="J101" s="220" t="s">
        <v>431</v>
      </c>
      <c r="K101" s="18"/>
      <c r="L101" s="221" t="s">
        <v>433</v>
      </c>
    </row>
    <row r="102" hidden="1">
      <c r="A102" s="41">
        <v>102.0</v>
      </c>
      <c r="B102" s="41" t="s">
        <v>285</v>
      </c>
      <c r="C102" s="42" t="s">
        <v>22</v>
      </c>
      <c r="D102" s="39" t="str">
        <f t="shared" si="23"/>
        <v>21</v>
      </c>
      <c r="E102" s="42" t="str">
        <f t="shared" si="21"/>
        <v>25</v>
      </c>
      <c r="F102" s="42" t="s">
        <v>435</v>
      </c>
      <c r="G102" s="42" t="s">
        <v>53</v>
      </c>
      <c r="H102" s="42" t="s">
        <v>191</v>
      </c>
      <c r="I102" s="219" t="s">
        <v>190</v>
      </c>
      <c r="J102" s="220" t="s">
        <v>436</v>
      </c>
      <c r="K102" s="18"/>
      <c r="L102" s="221" t="s">
        <v>437</v>
      </c>
    </row>
    <row r="103">
      <c r="A103" s="41">
        <v>103.0</v>
      </c>
      <c r="B103" s="41" t="s">
        <v>285</v>
      </c>
      <c r="C103" s="42" t="s">
        <v>151</v>
      </c>
      <c r="D103" s="39" t="str">
        <f t="shared" si="23"/>
        <v>15</v>
      </c>
      <c r="E103" s="42" t="str">
        <f>RIGHT(F103,3)</f>
        <v>12B</v>
      </c>
      <c r="F103" s="225" t="s">
        <v>440</v>
      </c>
      <c r="G103" s="42" t="s">
        <v>422</v>
      </c>
      <c r="H103" s="42" t="s">
        <v>396</v>
      </c>
      <c r="I103" s="219" t="s">
        <v>441</v>
      </c>
      <c r="J103" s="220" t="s">
        <v>442</v>
      </c>
      <c r="K103" s="18"/>
      <c r="L103" s="53" t="s">
        <v>443</v>
      </c>
    </row>
    <row r="104" hidden="1">
      <c r="A104" s="41">
        <v>104.0</v>
      </c>
      <c r="B104" s="41" t="s">
        <v>285</v>
      </c>
      <c r="C104" s="42" t="s">
        <v>151</v>
      </c>
      <c r="D104" s="39" t="str">
        <f t="shared" si="23"/>
        <v>19</v>
      </c>
      <c r="E104" s="42" t="str">
        <f t="shared" ref="E104:E111" si="24">RIGHT(F104,2)</f>
        <v>26</v>
      </c>
      <c r="F104" s="225" t="s">
        <v>445</v>
      </c>
      <c r="G104" s="42" t="s">
        <v>53</v>
      </c>
      <c r="H104" s="42" t="s">
        <v>191</v>
      </c>
      <c r="I104" s="219" t="s">
        <v>447</v>
      </c>
      <c r="J104" s="220" t="s">
        <v>448</v>
      </c>
      <c r="K104" s="18"/>
      <c r="L104" s="53" t="s">
        <v>450</v>
      </c>
    </row>
    <row r="105" hidden="1">
      <c r="A105" s="41">
        <v>105.0</v>
      </c>
      <c r="B105" s="41" t="s">
        <v>285</v>
      </c>
      <c r="C105" s="42" t="s">
        <v>151</v>
      </c>
      <c r="D105" s="39" t="str">
        <f t="shared" si="23"/>
        <v>19</v>
      </c>
      <c r="E105" s="42" t="str">
        <f t="shared" si="24"/>
        <v>03</v>
      </c>
      <c r="F105" s="225" t="s">
        <v>453</v>
      </c>
      <c r="G105" s="42" t="s">
        <v>53</v>
      </c>
      <c r="H105" s="42" t="s">
        <v>161</v>
      </c>
      <c r="I105" s="219" t="s">
        <v>181</v>
      </c>
      <c r="J105" s="220" t="s">
        <v>454</v>
      </c>
      <c r="K105" s="18"/>
      <c r="L105" s="53" t="s">
        <v>455</v>
      </c>
    </row>
    <row r="106" hidden="1">
      <c r="A106" s="41">
        <v>106.0</v>
      </c>
      <c r="B106" s="41" t="s">
        <v>285</v>
      </c>
      <c r="C106" s="42" t="s">
        <v>151</v>
      </c>
      <c r="D106" s="39" t="str">
        <f t="shared" si="23"/>
        <v>20</v>
      </c>
      <c r="E106" s="42" t="str">
        <f t="shared" si="24"/>
        <v>22</v>
      </c>
      <c r="F106" s="225" t="s">
        <v>458</v>
      </c>
      <c r="G106" s="42" t="s">
        <v>53</v>
      </c>
      <c r="H106" s="42" t="s">
        <v>161</v>
      </c>
      <c r="I106" s="219" t="s">
        <v>76</v>
      </c>
      <c r="J106" s="220" t="s">
        <v>460</v>
      </c>
      <c r="K106" s="18"/>
      <c r="L106" s="53" t="s">
        <v>461</v>
      </c>
    </row>
    <row r="107" hidden="1">
      <c r="A107" s="41">
        <v>107.0</v>
      </c>
      <c r="B107" s="41" t="s">
        <v>285</v>
      </c>
      <c r="C107" s="42" t="s">
        <v>151</v>
      </c>
      <c r="D107" s="39" t="str">
        <f t="shared" si="23"/>
        <v>20</v>
      </c>
      <c r="E107" s="42" t="str">
        <f t="shared" si="24"/>
        <v>05</v>
      </c>
      <c r="F107" s="225" t="s">
        <v>464</v>
      </c>
      <c r="G107" s="42" t="s">
        <v>53</v>
      </c>
      <c r="H107" s="42" t="s">
        <v>161</v>
      </c>
      <c r="I107" s="219" t="s">
        <v>222</v>
      </c>
      <c r="J107" s="220" t="s">
        <v>465</v>
      </c>
      <c r="K107" s="18"/>
      <c r="L107" s="53" t="s">
        <v>467</v>
      </c>
    </row>
    <row r="108" hidden="1">
      <c r="A108" s="41">
        <v>108.0</v>
      </c>
      <c r="B108" s="41" t="s">
        <v>285</v>
      </c>
      <c r="C108" s="42" t="s">
        <v>151</v>
      </c>
      <c r="D108" s="39" t="str">
        <f t="shared" si="23"/>
        <v>23</v>
      </c>
      <c r="E108" s="42" t="str">
        <f t="shared" si="24"/>
        <v>19</v>
      </c>
      <c r="F108" s="225" t="s">
        <v>469</v>
      </c>
      <c r="G108" s="42" t="s">
        <v>89</v>
      </c>
      <c r="H108" s="42" t="s">
        <v>425</v>
      </c>
      <c r="I108" s="219" t="s">
        <v>470</v>
      </c>
      <c r="J108" s="220" t="s">
        <v>471</v>
      </c>
      <c r="K108" s="18"/>
      <c r="L108" s="53" t="s">
        <v>472</v>
      </c>
    </row>
    <row r="109" hidden="1">
      <c r="A109" s="41">
        <v>109.0</v>
      </c>
      <c r="B109" s="41" t="s">
        <v>285</v>
      </c>
      <c r="C109" s="42" t="s">
        <v>151</v>
      </c>
      <c r="D109" s="39" t="str">
        <f t="shared" si="23"/>
        <v>06</v>
      </c>
      <c r="E109" s="42" t="str">
        <f t="shared" si="24"/>
        <v>35</v>
      </c>
      <c r="F109" s="42" t="s">
        <v>457</v>
      </c>
      <c r="G109" s="42" t="s">
        <v>89</v>
      </c>
      <c r="H109" s="42" t="s">
        <v>183</v>
      </c>
      <c r="I109" s="219" t="s">
        <v>353</v>
      </c>
      <c r="J109" s="220" t="s">
        <v>474</v>
      </c>
      <c r="K109" s="42"/>
      <c r="L109" s="221" t="s">
        <v>475</v>
      </c>
    </row>
    <row r="110" hidden="1">
      <c r="A110" s="41">
        <v>110.0</v>
      </c>
      <c r="B110" s="41" t="s">
        <v>285</v>
      </c>
      <c r="C110" s="42" t="s">
        <v>151</v>
      </c>
      <c r="D110" s="39" t="str">
        <f t="shared" si="23"/>
        <v>08</v>
      </c>
      <c r="E110" s="42" t="str">
        <f t="shared" si="24"/>
        <v>33</v>
      </c>
      <c r="F110" s="225" t="s">
        <v>477</v>
      </c>
      <c r="G110" s="42" t="s">
        <v>53</v>
      </c>
      <c r="H110" s="42" t="s">
        <v>360</v>
      </c>
      <c r="I110" s="219" t="s">
        <v>145</v>
      </c>
      <c r="J110" s="220" t="s">
        <v>478</v>
      </c>
      <c r="K110" s="18"/>
      <c r="L110" s="53" t="s">
        <v>479</v>
      </c>
    </row>
    <row r="111" hidden="1">
      <c r="A111" s="41">
        <v>111.0</v>
      </c>
      <c r="B111" s="41" t="s">
        <v>285</v>
      </c>
      <c r="C111" s="42" t="s">
        <v>151</v>
      </c>
      <c r="D111" s="39" t="str">
        <f t="shared" si="23"/>
        <v>08</v>
      </c>
      <c r="E111" s="42" t="str">
        <f t="shared" si="24"/>
        <v>34</v>
      </c>
      <c r="F111" s="42" t="s">
        <v>483</v>
      </c>
      <c r="G111" s="42" t="s">
        <v>24</v>
      </c>
      <c r="H111" s="42" t="s">
        <v>316</v>
      </c>
      <c r="I111" s="42" t="s">
        <v>202</v>
      </c>
      <c r="J111" s="42" t="s">
        <v>484</v>
      </c>
      <c r="K111" s="42"/>
      <c r="L111" s="221" t="s">
        <v>485</v>
      </c>
    </row>
    <row r="112" hidden="1">
      <c r="A112" s="41">
        <v>112.0</v>
      </c>
      <c r="B112" s="41" t="s">
        <v>285</v>
      </c>
      <c r="C112" s="42" t="s">
        <v>151</v>
      </c>
      <c r="D112" s="39" t="str">
        <f t="shared" si="23"/>
        <v>08</v>
      </c>
      <c r="E112" s="42" t="str">
        <f>RIGHT(F112,3)</f>
        <v>12A</v>
      </c>
      <c r="F112" s="42" t="s">
        <v>490</v>
      </c>
      <c r="G112" s="42" t="s">
        <v>53</v>
      </c>
      <c r="H112" s="42" t="s">
        <v>161</v>
      </c>
      <c r="I112" s="42" t="s">
        <v>76</v>
      </c>
      <c r="J112" s="42" t="s">
        <v>492</v>
      </c>
      <c r="K112" s="42"/>
      <c r="L112" s="221" t="s">
        <v>493</v>
      </c>
    </row>
    <row r="113" hidden="1">
      <c r="A113" s="41">
        <v>113.0</v>
      </c>
      <c r="B113" s="41" t="s">
        <v>285</v>
      </c>
      <c r="C113" s="42" t="s">
        <v>151</v>
      </c>
      <c r="D113" s="39" t="str">
        <f t="shared" si="23"/>
        <v>10</v>
      </c>
      <c r="E113" s="42" t="str">
        <f t="shared" ref="E113:E117" si="25">RIGHT(F113,2)</f>
        <v>01</v>
      </c>
      <c r="F113" s="225" t="s">
        <v>496</v>
      </c>
      <c r="G113" s="42" t="s">
        <v>53</v>
      </c>
      <c r="H113" s="42" t="s">
        <v>191</v>
      </c>
      <c r="I113" s="42" t="s">
        <v>190</v>
      </c>
      <c r="J113" s="42" t="s">
        <v>497</v>
      </c>
      <c r="K113" s="18"/>
      <c r="L113" s="53" t="s">
        <v>498</v>
      </c>
    </row>
    <row r="114">
      <c r="A114" s="41">
        <v>114.0</v>
      </c>
      <c r="B114" s="41" t="s">
        <v>285</v>
      </c>
      <c r="C114" s="42" t="s">
        <v>151</v>
      </c>
      <c r="D114" s="39" t="str">
        <f t="shared" si="23"/>
        <v>15</v>
      </c>
      <c r="E114" s="42" t="str">
        <f t="shared" si="25"/>
        <v>01</v>
      </c>
      <c r="F114" s="225" t="s">
        <v>503</v>
      </c>
      <c r="G114" s="42" t="s">
        <v>53</v>
      </c>
      <c r="H114" s="42" t="s">
        <v>191</v>
      </c>
      <c r="I114" s="42" t="s">
        <v>190</v>
      </c>
      <c r="J114" s="42" t="s">
        <v>505</v>
      </c>
      <c r="K114" s="18"/>
      <c r="L114" s="53" t="s">
        <v>506</v>
      </c>
    </row>
    <row r="115" hidden="1">
      <c r="A115" s="41">
        <v>115.0</v>
      </c>
      <c r="B115" s="41" t="s">
        <v>285</v>
      </c>
      <c r="C115" s="42" t="s">
        <v>151</v>
      </c>
      <c r="D115" s="39" t="str">
        <f t="shared" si="23"/>
        <v>18</v>
      </c>
      <c r="E115" s="42" t="str">
        <f t="shared" si="25"/>
        <v>09</v>
      </c>
      <c r="F115" s="42" t="s">
        <v>508</v>
      </c>
      <c r="G115" s="42" t="s">
        <v>24</v>
      </c>
      <c r="H115" s="42" t="s">
        <v>316</v>
      </c>
      <c r="I115" s="42" t="s">
        <v>202</v>
      </c>
      <c r="J115" s="192" t="s">
        <v>510</v>
      </c>
      <c r="K115" s="18"/>
      <c r="L115" s="221" t="s">
        <v>512</v>
      </c>
    </row>
    <row r="116" hidden="1">
      <c r="A116" s="41">
        <v>116.0</v>
      </c>
      <c r="B116" s="41" t="s">
        <v>285</v>
      </c>
      <c r="C116" s="42" t="s">
        <v>151</v>
      </c>
      <c r="D116" s="39" t="str">
        <f t="shared" si="23"/>
        <v>20</v>
      </c>
      <c r="E116" s="42" t="str">
        <f t="shared" si="25"/>
        <v>28</v>
      </c>
      <c r="F116" s="225" t="s">
        <v>516</v>
      </c>
      <c r="G116" s="42" t="s">
        <v>422</v>
      </c>
      <c r="H116" s="42" t="s">
        <v>396</v>
      </c>
      <c r="I116" s="42" t="s">
        <v>413</v>
      </c>
      <c r="J116" s="42" t="s">
        <v>518</v>
      </c>
      <c r="K116" s="18"/>
      <c r="L116" s="53" t="s">
        <v>519</v>
      </c>
    </row>
    <row r="117" hidden="1">
      <c r="A117" s="41">
        <v>117.0</v>
      </c>
      <c r="B117" s="41" t="s">
        <v>285</v>
      </c>
      <c r="C117" s="42" t="s">
        <v>151</v>
      </c>
      <c r="D117" s="39" t="str">
        <f t="shared" si="23"/>
        <v>20</v>
      </c>
      <c r="E117" s="42" t="str">
        <f t="shared" si="25"/>
        <v>32</v>
      </c>
      <c r="F117" s="225" t="s">
        <v>522</v>
      </c>
      <c r="G117" s="42" t="s">
        <v>53</v>
      </c>
      <c r="H117" s="42" t="s">
        <v>164</v>
      </c>
      <c r="I117" s="42" t="s">
        <v>288</v>
      </c>
      <c r="J117" s="42" t="s">
        <v>523</v>
      </c>
      <c r="K117" s="18"/>
      <c r="L117" s="53" t="s">
        <v>524</v>
      </c>
    </row>
    <row r="118" hidden="1">
      <c r="A118" s="41">
        <v>118.0</v>
      </c>
      <c r="B118" s="41" t="s">
        <v>285</v>
      </c>
      <c r="C118" s="42" t="s">
        <v>151</v>
      </c>
      <c r="D118" s="39" t="str">
        <f t="shared" si="23"/>
        <v>21</v>
      </c>
      <c r="E118" s="42" t="str">
        <f>RIGHT(F118,3)</f>
        <v>03A</v>
      </c>
      <c r="F118" s="225" t="s">
        <v>527</v>
      </c>
      <c r="G118" s="42" t="s">
        <v>53</v>
      </c>
      <c r="H118" s="42" t="s">
        <v>161</v>
      </c>
      <c r="I118" s="42" t="s">
        <v>197</v>
      </c>
      <c r="J118" s="42" t="s">
        <v>528</v>
      </c>
      <c r="K118" s="18"/>
      <c r="L118" s="53" t="s">
        <v>529</v>
      </c>
    </row>
    <row r="119" hidden="1">
      <c r="A119" s="41">
        <v>119.0</v>
      </c>
      <c r="B119" s="41" t="s">
        <v>285</v>
      </c>
      <c r="C119" s="42" t="s">
        <v>151</v>
      </c>
      <c r="D119" s="39" t="str">
        <f t="shared" si="23"/>
        <v>21</v>
      </c>
      <c r="E119" s="42" t="str">
        <f t="shared" ref="E119:E151" si="26">RIGHT(F119,2)</f>
        <v>26</v>
      </c>
      <c r="F119" s="225" t="s">
        <v>531</v>
      </c>
      <c r="G119" s="42" t="s">
        <v>53</v>
      </c>
      <c r="H119" s="42" t="s">
        <v>191</v>
      </c>
      <c r="I119" s="42" t="s">
        <v>447</v>
      </c>
      <c r="J119" s="42" t="s">
        <v>532</v>
      </c>
      <c r="K119" s="18"/>
      <c r="L119" s="53" t="s">
        <v>533</v>
      </c>
    </row>
    <row r="120" hidden="1">
      <c r="A120" s="41">
        <v>120.0</v>
      </c>
      <c r="B120" s="41" t="s">
        <v>285</v>
      </c>
      <c r="C120" s="42" t="s">
        <v>151</v>
      </c>
      <c r="D120" s="39" t="str">
        <f t="shared" si="23"/>
        <v>21</v>
      </c>
      <c r="E120" s="42" t="str">
        <f t="shared" si="26"/>
        <v>33</v>
      </c>
      <c r="F120" s="225" t="s">
        <v>534</v>
      </c>
      <c r="G120" s="42" t="s">
        <v>53</v>
      </c>
      <c r="H120" s="42" t="s">
        <v>360</v>
      </c>
      <c r="I120" s="42" t="s">
        <v>145</v>
      </c>
      <c r="J120" s="42" t="s">
        <v>535</v>
      </c>
      <c r="K120" s="18"/>
      <c r="L120" s="53" t="s">
        <v>536</v>
      </c>
    </row>
    <row r="121" hidden="1">
      <c r="A121" s="41">
        <v>121.0</v>
      </c>
      <c r="B121" s="41" t="s">
        <v>285</v>
      </c>
      <c r="C121" s="42" t="s">
        <v>151</v>
      </c>
      <c r="D121" s="39" t="str">
        <f t="shared" si="23"/>
        <v>23</v>
      </c>
      <c r="E121" s="42" t="str">
        <f t="shared" si="26"/>
        <v>18</v>
      </c>
      <c r="F121" s="42" t="s">
        <v>537</v>
      </c>
      <c r="G121" s="42" t="s">
        <v>89</v>
      </c>
      <c r="H121" s="42" t="s">
        <v>425</v>
      </c>
      <c r="I121" s="42" t="s">
        <v>426</v>
      </c>
      <c r="J121" s="42" t="s">
        <v>539</v>
      </c>
      <c r="K121" s="18"/>
      <c r="L121" s="221" t="s">
        <v>540</v>
      </c>
    </row>
    <row r="122" hidden="1">
      <c r="A122" s="41">
        <v>122.0</v>
      </c>
      <c r="B122" s="41" t="s">
        <v>285</v>
      </c>
      <c r="C122" s="42" t="s">
        <v>151</v>
      </c>
      <c r="D122" s="39" t="str">
        <f t="shared" si="23"/>
        <v>23</v>
      </c>
      <c r="E122" s="42" t="str">
        <f t="shared" si="26"/>
        <v>19</v>
      </c>
      <c r="F122" s="42" t="s">
        <v>517</v>
      </c>
      <c r="G122" s="42" t="s">
        <v>89</v>
      </c>
      <c r="H122" s="42" t="s">
        <v>425</v>
      </c>
      <c r="I122" s="219" t="s">
        <v>470</v>
      </c>
      <c r="J122" s="252" t="s">
        <v>471</v>
      </c>
      <c r="K122" s="18"/>
      <c r="L122" s="221" t="s">
        <v>517</v>
      </c>
    </row>
    <row r="123" hidden="1">
      <c r="A123" s="41">
        <v>123.0</v>
      </c>
      <c r="B123" s="41" t="s">
        <v>285</v>
      </c>
      <c r="C123" s="42" t="s">
        <v>151</v>
      </c>
      <c r="D123" s="39" t="str">
        <f t="shared" si="23"/>
        <v>24</v>
      </c>
      <c r="E123" s="42" t="str">
        <f t="shared" si="26"/>
        <v>20</v>
      </c>
      <c r="F123" s="42" t="s">
        <v>545</v>
      </c>
      <c r="G123" s="42" t="s">
        <v>53</v>
      </c>
      <c r="H123" s="42" t="s">
        <v>161</v>
      </c>
      <c r="I123" s="42" t="s">
        <v>129</v>
      </c>
      <c r="J123" s="42" t="s">
        <v>547</v>
      </c>
      <c r="K123" s="18"/>
      <c r="L123" s="221" t="s">
        <v>548</v>
      </c>
    </row>
    <row r="124" hidden="1">
      <c r="A124" s="41">
        <v>124.0</v>
      </c>
      <c r="B124" s="41" t="s">
        <v>285</v>
      </c>
      <c r="C124" s="42" t="s">
        <v>151</v>
      </c>
      <c r="D124" s="39" t="str">
        <f t="shared" si="23"/>
        <v>24</v>
      </c>
      <c r="E124" s="42" t="str">
        <f t="shared" si="26"/>
        <v>21</v>
      </c>
      <c r="F124" s="42" t="s">
        <v>553</v>
      </c>
      <c r="G124" s="42" t="s">
        <v>53</v>
      </c>
      <c r="H124" s="42" t="s">
        <v>161</v>
      </c>
      <c r="I124" s="42" t="s">
        <v>76</v>
      </c>
      <c r="J124" s="42" t="s">
        <v>554</v>
      </c>
      <c r="K124" s="18"/>
      <c r="L124" s="221" t="s">
        <v>555</v>
      </c>
    </row>
    <row r="125" hidden="1">
      <c r="A125" s="41">
        <v>125.0</v>
      </c>
      <c r="B125" s="41" t="s">
        <v>272</v>
      </c>
      <c r="C125" s="295" t="s">
        <v>33</v>
      </c>
      <c r="D125" s="39" t="str">
        <f t="shared" ref="D125:D128" si="27">mid(F125,2,3)</f>
        <v>03A</v>
      </c>
      <c r="E125" s="42" t="str">
        <f t="shared" si="26"/>
        <v>09</v>
      </c>
      <c r="F125" s="295" t="s">
        <v>557</v>
      </c>
      <c r="G125" s="295" t="s">
        <v>53</v>
      </c>
      <c r="H125" s="295">
        <v>54.0</v>
      </c>
      <c r="I125" s="295">
        <v>58.5</v>
      </c>
      <c r="J125" s="295" t="s">
        <v>559</v>
      </c>
      <c r="K125" s="18"/>
      <c r="L125" s="18"/>
    </row>
    <row r="126" hidden="1">
      <c r="A126" s="41">
        <v>126.0</v>
      </c>
      <c r="B126" s="41" t="s">
        <v>272</v>
      </c>
      <c r="C126" s="295" t="s">
        <v>33</v>
      </c>
      <c r="D126" s="39" t="str">
        <f t="shared" si="27"/>
        <v>03A</v>
      </c>
      <c r="E126" s="42" t="str">
        <f t="shared" si="26"/>
        <v>41</v>
      </c>
      <c r="F126" s="295" t="s">
        <v>563</v>
      </c>
      <c r="G126" s="295" t="s">
        <v>53</v>
      </c>
      <c r="H126" s="295">
        <v>52.2</v>
      </c>
      <c r="I126" s="295">
        <v>56.7</v>
      </c>
      <c r="J126" s="295" t="s">
        <v>564</v>
      </c>
      <c r="K126" s="18"/>
      <c r="L126" s="18"/>
    </row>
    <row r="127" hidden="1">
      <c r="A127" s="41">
        <v>127.0</v>
      </c>
      <c r="B127" s="41" t="s">
        <v>272</v>
      </c>
      <c r="C127" s="295" t="s">
        <v>33</v>
      </c>
      <c r="D127" s="39" t="str">
        <f t="shared" si="27"/>
        <v>03A</v>
      </c>
      <c r="E127" s="42" t="str">
        <f t="shared" si="26"/>
        <v>42</v>
      </c>
      <c r="F127" s="295" t="s">
        <v>565</v>
      </c>
      <c r="G127" s="295" t="s">
        <v>53</v>
      </c>
      <c r="H127" s="295">
        <v>55.7</v>
      </c>
      <c r="I127" s="295">
        <v>60.3</v>
      </c>
      <c r="J127" s="295" t="s">
        <v>567</v>
      </c>
      <c r="K127" s="18"/>
      <c r="L127" s="18"/>
    </row>
    <row r="128" hidden="1">
      <c r="A128" s="41">
        <v>128.0</v>
      </c>
      <c r="B128" s="41" t="s">
        <v>272</v>
      </c>
      <c r="C128" s="295" t="s">
        <v>33</v>
      </c>
      <c r="D128" s="39" t="str">
        <f t="shared" si="27"/>
        <v>03A</v>
      </c>
      <c r="E128" s="42" t="str">
        <f t="shared" si="26"/>
        <v>43</v>
      </c>
      <c r="F128" s="295" t="s">
        <v>570</v>
      </c>
      <c r="G128" s="295" t="s">
        <v>53</v>
      </c>
      <c r="H128" s="295">
        <v>58.4</v>
      </c>
      <c r="I128" s="295">
        <v>60.3</v>
      </c>
      <c r="J128" s="295" t="s">
        <v>571</v>
      </c>
      <c r="K128" s="18"/>
      <c r="L128" s="18"/>
    </row>
    <row r="129" hidden="1">
      <c r="A129" s="41">
        <v>129.0</v>
      </c>
      <c r="B129" s="41" t="s">
        <v>272</v>
      </c>
      <c r="C129" s="295" t="s">
        <v>33</v>
      </c>
      <c r="D129" s="39" t="str">
        <f t="shared" ref="D129:D136" si="28">mid(F129,2,2)</f>
        <v>06</v>
      </c>
      <c r="E129" s="42" t="str">
        <f t="shared" si="26"/>
        <v>34</v>
      </c>
      <c r="F129" s="295" t="s">
        <v>572</v>
      </c>
      <c r="G129" s="295" t="s">
        <v>89</v>
      </c>
      <c r="H129" s="295">
        <v>28.9</v>
      </c>
      <c r="I129" s="295">
        <v>32.7</v>
      </c>
      <c r="J129" s="295" t="s">
        <v>573</v>
      </c>
      <c r="K129" s="18"/>
      <c r="L129" s="18"/>
    </row>
    <row r="130" hidden="1">
      <c r="A130" s="41">
        <v>130.0</v>
      </c>
      <c r="B130" s="41" t="s">
        <v>272</v>
      </c>
      <c r="C130" s="295" t="s">
        <v>33</v>
      </c>
      <c r="D130" s="39" t="str">
        <f t="shared" si="28"/>
        <v>09</v>
      </c>
      <c r="E130" s="42" t="str">
        <f t="shared" si="26"/>
        <v>31</v>
      </c>
      <c r="F130" s="295" t="s">
        <v>576</v>
      </c>
      <c r="G130" s="295" t="s">
        <v>53</v>
      </c>
      <c r="H130" s="295">
        <v>54.0</v>
      </c>
      <c r="I130" s="295">
        <v>58.5</v>
      </c>
      <c r="J130" s="295" t="s">
        <v>579</v>
      </c>
      <c r="K130" s="18"/>
      <c r="L130" s="18"/>
    </row>
    <row r="131" hidden="1">
      <c r="A131" s="41">
        <v>131.0</v>
      </c>
      <c r="B131" s="41" t="s">
        <v>272</v>
      </c>
      <c r="C131" s="295" t="s">
        <v>33</v>
      </c>
      <c r="D131" s="39" t="str">
        <f t="shared" si="28"/>
        <v>09</v>
      </c>
      <c r="E131" s="42" t="str">
        <f t="shared" si="26"/>
        <v>33</v>
      </c>
      <c r="F131" s="295" t="s">
        <v>580</v>
      </c>
      <c r="G131" s="295" t="s">
        <v>53</v>
      </c>
      <c r="H131" s="295">
        <v>53.7</v>
      </c>
      <c r="I131" s="295">
        <v>59.1</v>
      </c>
      <c r="J131" s="295" t="s">
        <v>581</v>
      </c>
      <c r="K131" s="18"/>
      <c r="L131" s="18"/>
    </row>
    <row r="132" hidden="1">
      <c r="A132" s="41">
        <v>132.0</v>
      </c>
      <c r="B132" s="41" t="s">
        <v>272</v>
      </c>
      <c r="C132" s="295" t="s">
        <v>33</v>
      </c>
      <c r="D132" s="39" t="str">
        <f t="shared" si="28"/>
        <v>15</v>
      </c>
      <c r="E132" s="42" t="str">
        <f t="shared" si="26"/>
        <v>08</v>
      </c>
      <c r="F132" s="295" t="s">
        <v>583</v>
      </c>
      <c r="G132" s="295" t="s">
        <v>53</v>
      </c>
      <c r="H132" s="295">
        <v>58.7</v>
      </c>
      <c r="I132" s="295">
        <v>61.2</v>
      </c>
      <c r="J132" s="295" t="s">
        <v>585</v>
      </c>
      <c r="K132" s="18"/>
      <c r="L132" s="18"/>
    </row>
    <row r="133" hidden="1">
      <c r="A133" s="41">
        <v>133.0</v>
      </c>
      <c r="B133" s="41" t="s">
        <v>272</v>
      </c>
      <c r="C133" s="295" t="s">
        <v>33</v>
      </c>
      <c r="D133" s="39" t="str">
        <f t="shared" si="28"/>
        <v>16</v>
      </c>
      <c r="E133" s="42" t="str">
        <f t="shared" si="26"/>
        <v>05</v>
      </c>
      <c r="F133" s="295" t="s">
        <v>587</v>
      </c>
      <c r="G133" s="295" t="s">
        <v>53</v>
      </c>
      <c r="H133" s="295">
        <v>54.6</v>
      </c>
      <c r="I133" s="295">
        <v>59.1</v>
      </c>
      <c r="J133" s="295" t="s">
        <v>588</v>
      </c>
      <c r="K133" s="18"/>
      <c r="L133" s="18"/>
    </row>
    <row r="134" hidden="1">
      <c r="A134" s="41">
        <v>134.0</v>
      </c>
      <c r="B134" s="41" t="s">
        <v>272</v>
      </c>
      <c r="C134" s="295" t="s">
        <v>33</v>
      </c>
      <c r="D134" s="39" t="str">
        <f t="shared" si="28"/>
        <v>17</v>
      </c>
      <c r="E134" s="42" t="str">
        <f t="shared" si="26"/>
        <v>02</v>
      </c>
      <c r="F134" s="295" t="s">
        <v>590</v>
      </c>
      <c r="G134" s="295" t="s">
        <v>53</v>
      </c>
      <c r="H134" s="295">
        <v>52.8</v>
      </c>
      <c r="I134" s="295">
        <v>58.5</v>
      </c>
      <c r="J134" s="295" t="s">
        <v>591</v>
      </c>
      <c r="K134" s="18"/>
      <c r="L134" s="18"/>
    </row>
    <row r="135" hidden="1">
      <c r="A135" s="41">
        <v>135.0</v>
      </c>
      <c r="B135" s="41" t="s">
        <v>272</v>
      </c>
      <c r="C135" s="295" t="s">
        <v>33</v>
      </c>
      <c r="D135" s="39" t="str">
        <f t="shared" si="28"/>
        <v>18</v>
      </c>
      <c r="E135" s="42" t="str">
        <f t="shared" si="26"/>
        <v>38</v>
      </c>
      <c r="F135" s="295" t="s">
        <v>592</v>
      </c>
      <c r="G135" s="295" t="s">
        <v>53</v>
      </c>
      <c r="H135" s="295">
        <v>54.1</v>
      </c>
      <c r="I135" s="295">
        <v>58.5</v>
      </c>
      <c r="J135" s="295" t="s">
        <v>593</v>
      </c>
      <c r="K135" s="18"/>
      <c r="L135" s="18"/>
    </row>
    <row r="136" hidden="1">
      <c r="A136" s="41">
        <v>136.0</v>
      </c>
      <c r="B136" s="41" t="s">
        <v>272</v>
      </c>
      <c r="C136" s="295" t="s">
        <v>33</v>
      </c>
      <c r="D136" s="39" t="str">
        <f t="shared" si="28"/>
        <v>23</v>
      </c>
      <c r="E136" s="42" t="str">
        <f t="shared" si="26"/>
        <v>39</v>
      </c>
      <c r="F136" s="295" t="s">
        <v>595</v>
      </c>
      <c r="G136" s="295" t="s">
        <v>24</v>
      </c>
      <c r="H136" s="295">
        <v>66.3</v>
      </c>
      <c r="I136" s="295">
        <v>72.0</v>
      </c>
      <c r="J136" s="295" t="s">
        <v>596</v>
      </c>
      <c r="K136" s="18"/>
      <c r="L136" s="18"/>
    </row>
    <row r="137" hidden="1">
      <c r="A137" s="41">
        <v>137.0</v>
      </c>
      <c r="B137" s="41" t="s">
        <v>272</v>
      </c>
      <c r="C137" s="295" t="s">
        <v>22</v>
      </c>
      <c r="D137" s="39" t="str">
        <f t="shared" ref="D137:D138" si="29">mid(F137,3,3)</f>
        <v>12A</v>
      </c>
      <c r="E137" s="42" t="str">
        <f t="shared" si="26"/>
        <v>22</v>
      </c>
      <c r="F137" s="295" t="s">
        <v>597</v>
      </c>
      <c r="G137" s="295" t="s">
        <v>53</v>
      </c>
      <c r="H137" s="295">
        <v>53.9</v>
      </c>
      <c r="I137" s="295">
        <v>58.5</v>
      </c>
      <c r="J137" s="295" t="s">
        <v>598</v>
      </c>
      <c r="K137" s="18"/>
      <c r="L137" s="18"/>
    </row>
    <row r="138" hidden="1">
      <c r="A138" s="41">
        <v>138.0</v>
      </c>
      <c r="B138" s="41" t="s">
        <v>272</v>
      </c>
      <c r="C138" s="295" t="s">
        <v>22</v>
      </c>
      <c r="D138" s="39" t="str">
        <f t="shared" si="29"/>
        <v>12A</v>
      </c>
      <c r="E138" s="42" t="str">
        <f t="shared" si="26"/>
        <v>25</v>
      </c>
      <c r="F138" s="295" t="s">
        <v>600</v>
      </c>
      <c r="G138" s="295" t="s">
        <v>53</v>
      </c>
      <c r="H138" s="295">
        <v>58.0</v>
      </c>
      <c r="I138" s="295">
        <v>62.6</v>
      </c>
      <c r="J138" s="295" t="s">
        <v>601</v>
      </c>
      <c r="K138" s="18"/>
      <c r="L138" s="18"/>
    </row>
    <row r="139" hidden="1">
      <c r="A139" s="41">
        <v>139.0</v>
      </c>
      <c r="B139" s="41" t="s">
        <v>272</v>
      </c>
      <c r="C139" s="295" t="s">
        <v>22</v>
      </c>
      <c r="D139" s="39" t="str">
        <f t="shared" ref="D139:D142" si="30">mid(F139,2,2)</f>
        <v>11</v>
      </c>
      <c r="E139" s="42" t="str">
        <f t="shared" si="26"/>
        <v>31</v>
      </c>
      <c r="F139" s="295" t="s">
        <v>602</v>
      </c>
      <c r="G139" s="295" t="s">
        <v>53</v>
      </c>
      <c r="H139" s="295">
        <v>50.0</v>
      </c>
      <c r="I139" s="295">
        <v>54.2</v>
      </c>
      <c r="J139" s="295" t="s">
        <v>603</v>
      </c>
      <c r="K139" s="18"/>
      <c r="L139" s="18"/>
    </row>
    <row r="140" hidden="1">
      <c r="A140" s="41">
        <v>140.0</v>
      </c>
      <c r="B140" s="41" t="s">
        <v>272</v>
      </c>
      <c r="C140" s="295" t="s">
        <v>22</v>
      </c>
      <c r="D140" s="39" t="str">
        <f t="shared" si="30"/>
        <v>12</v>
      </c>
      <c r="E140" s="42" t="str">
        <f t="shared" si="26"/>
        <v>25</v>
      </c>
      <c r="F140" s="295" t="s">
        <v>604</v>
      </c>
      <c r="G140" s="295" t="s">
        <v>53</v>
      </c>
      <c r="H140" s="295">
        <v>58.0</v>
      </c>
      <c r="I140" s="295">
        <v>62.6</v>
      </c>
      <c r="J140" s="295" t="s">
        <v>605</v>
      </c>
      <c r="K140" s="18"/>
      <c r="L140" s="18"/>
    </row>
    <row r="141" hidden="1">
      <c r="A141" s="41">
        <v>141.0</v>
      </c>
      <c r="B141" s="41" t="s">
        <v>272</v>
      </c>
      <c r="C141" s="295" t="s">
        <v>151</v>
      </c>
      <c r="D141" s="39" t="str">
        <f t="shared" si="30"/>
        <v>20</v>
      </c>
      <c r="E141" s="42" t="str">
        <f t="shared" si="26"/>
        <v>09</v>
      </c>
      <c r="F141" s="295" t="s">
        <v>607</v>
      </c>
      <c r="G141" s="295" t="s">
        <v>24</v>
      </c>
      <c r="H141" s="295">
        <v>75.3</v>
      </c>
      <c r="I141" s="295">
        <v>81.2</v>
      </c>
      <c r="J141" s="295" t="s">
        <v>608</v>
      </c>
      <c r="K141" s="18"/>
      <c r="L141" s="18"/>
    </row>
    <row r="142" hidden="1">
      <c r="A142" s="41">
        <v>142.0</v>
      </c>
      <c r="B142" s="41" t="s">
        <v>272</v>
      </c>
      <c r="C142" s="295" t="s">
        <v>151</v>
      </c>
      <c r="D142" s="39" t="str">
        <f t="shared" si="30"/>
        <v>20</v>
      </c>
      <c r="E142" s="42" t="str">
        <f t="shared" si="26"/>
        <v>34</v>
      </c>
      <c r="F142" s="295" t="s">
        <v>610</v>
      </c>
      <c r="G142" s="295" t="s">
        <v>24</v>
      </c>
      <c r="H142" s="295">
        <v>75.3</v>
      </c>
      <c r="I142" s="295">
        <v>81.2</v>
      </c>
      <c r="J142" s="295" t="s">
        <v>608</v>
      </c>
      <c r="K142" s="18"/>
      <c r="L142" s="18"/>
    </row>
    <row r="143" hidden="1">
      <c r="A143" s="41">
        <v>143.0</v>
      </c>
      <c r="B143" s="41" t="s">
        <v>272</v>
      </c>
      <c r="C143" s="295" t="s">
        <v>151</v>
      </c>
      <c r="D143" s="39" t="str">
        <f t="shared" ref="D143:D144" si="31">mid(F143,3,3)</f>
        <v>12A</v>
      </c>
      <c r="E143" s="42" t="str">
        <f t="shared" si="26"/>
        <v>01</v>
      </c>
      <c r="F143" s="295" t="s">
        <v>611</v>
      </c>
      <c r="G143" s="295" t="s">
        <v>53</v>
      </c>
      <c r="H143" s="295">
        <v>58.0</v>
      </c>
      <c r="I143" s="295">
        <v>62.6</v>
      </c>
      <c r="J143" s="295" t="s">
        <v>613</v>
      </c>
      <c r="K143" s="18"/>
      <c r="L143" s="18"/>
    </row>
    <row r="144" hidden="1">
      <c r="A144" s="41">
        <v>144.0</v>
      </c>
      <c r="B144" s="41" t="s">
        <v>272</v>
      </c>
      <c r="C144" s="295" t="s">
        <v>151</v>
      </c>
      <c r="D144" s="39" t="str">
        <f t="shared" si="31"/>
        <v>12A</v>
      </c>
      <c r="E144" s="42" t="str">
        <f t="shared" si="26"/>
        <v>02</v>
      </c>
      <c r="F144" s="295" t="s">
        <v>614</v>
      </c>
      <c r="G144" s="295" t="s">
        <v>53</v>
      </c>
      <c r="H144" s="295">
        <v>58.1</v>
      </c>
      <c r="I144" s="295">
        <v>62.6</v>
      </c>
      <c r="J144" s="295" t="s">
        <v>615</v>
      </c>
      <c r="K144" s="18"/>
      <c r="L144" s="18"/>
    </row>
    <row r="145" hidden="1">
      <c r="A145" s="41">
        <v>145.0</v>
      </c>
      <c r="B145" s="41" t="s">
        <v>272</v>
      </c>
      <c r="C145" s="295" t="s">
        <v>151</v>
      </c>
      <c r="D145" s="39" t="str">
        <f t="shared" ref="D145:D153" si="32">mid(F145,3,2)</f>
        <v>22</v>
      </c>
      <c r="E145" s="42" t="str">
        <f t="shared" si="26"/>
        <v>31</v>
      </c>
      <c r="F145" s="295" t="s">
        <v>616</v>
      </c>
      <c r="G145" s="295" t="s">
        <v>24</v>
      </c>
      <c r="H145" s="295">
        <v>72.6</v>
      </c>
      <c r="I145" s="295">
        <v>80.5</v>
      </c>
      <c r="J145" s="295" t="s">
        <v>617</v>
      </c>
      <c r="K145" s="18"/>
      <c r="L145" s="18"/>
    </row>
    <row r="146" hidden="1">
      <c r="A146" s="41">
        <v>146.0</v>
      </c>
      <c r="B146" s="41" t="s">
        <v>272</v>
      </c>
      <c r="C146" s="295" t="s">
        <v>151</v>
      </c>
      <c r="D146" s="39" t="str">
        <f t="shared" si="32"/>
        <v>23</v>
      </c>
      <c r="E146" s="42" t="str">
        <f t="shared" si="26"/>
        <v>31</v>
      </c>
      <c r="F146" s="295" t="s">
        <v>619</v>
      </c>
      <c r="G146" s="295" t="s">
        <v>24</v>
      </c>
      <c r="H146" s="295">
        <v>72.6</v>
      </c>
      <c r="I146" s="295">
        <v>80.5</v>
      </c>
      <c r="J146" s="295" t="s">
        <v>620</v>
      </c>
      <c r="K146" s="18"/>
      <c r="L146" s="18"/>
    </row>
    <row r="147" hidden="1">
      <c r="A147" s="41">
        <v>147.0</v>
      </c>
      <c r="B147" s="41" t="s">
        <v>272</v>
      </c>
      <c r="C147" s="295" t="s">
        <v>151</v>
      </c>
      <c r="D147" s="39" t="str">
        <f t="shared" si="32"/>
        <v>24</v>
      </c>
      <c r="E147" s="42" t="str">
        <f t="shared" si="26"/>
        <v>01</v>
      </c>
      <c r="F147" s="295" t="s">
        <v>621</v>
      </c>
      <c r="G147" s="295" t="s">
        <v>53</v>
      </c>
      <c r="H147" s="295">
        <v>58.0</v>
      </c>
      <c r="I147" s="295">
        <v>62.6</v>
      </c>
      <c r="J147" s="295" t="s">
        <v>622</v>
      </c>
      <c r="K147" s="18"/>
      <c r="L147" s="18"/>
    </row>
    <row r="148" hidden="1">
      <c r="A148" s="41">
        <v>148.0</v>
      </c>
      <c r="B148" s="41" t="s">
        <v>272</v>
      </c>
      <c r="C148" s="295" t="s">
        <v>151</v>
      </c>
      <c r="D148" s="39" t="str">
        <f t="shared" si="32"/>
        <v>24</v>
      </c>
      <c r="E148" s="42" t="str">
        <f t="shared" si="26"/>
        <v>02</v>
      </c>
      <c r="F148" s="295" t="s">
        <v>623</v>
      </c>
      <c r="G148" s="295" t="s">
        <v>53</v>
      </c>
      <c r="H148" s="295">
        <v>58.1</v>
      </c>
      <c r="I148" s="295">
        <v>62.6</v>
      </c>
      <c r="J148" s="295" t="s">
        <v>624</v>
      </c>
      <c r="K148" s="18"/>
      <c r="L148" s="18"/>
    </row>
    <row r="149" hidden="1">
      <c r="A149" s="41">
        <v>149.0</v>
      </c>
      <c r="B149" s="41" t="s">
        <v>272</v>
      </c>
      <c r="C149" s="295" t="s">
        <v>151</v>
      </c>
      <c r="D149" s="39" t="str">
        <f t="shared" si="32"/>
        <v>24</v>
      </c>
      <c r="E149" s="42" t="str">
        <f t="shared" si="26"/>
        <v>03</v>
      </c>
      <c r="F149" s="295" t="s">
        <v>626</v>
      </c>
      <c r="G149" s="295" t="s">
        <v>53</v>
      </c>
      <c r="H149" s="295">
        <v>54.2</v>
      </c>
      <c r="I149" s="295">
        <v>58.5</v>
      </c>
      <c r="J149" s="295" t="s">
        <v>627</v>
      </c>
      <c r="K149" s="18"/>
      <c r="L149" s="18"/>
    </row>
    <row r="150" hidden="1">
      <c r="A150" s="41">
        <v>150.0</v>
      </c>
      <c r="B150" s="41" t="s">
        <v>272</v>
      </c>
      <c r="C150" s="295" t="s">
        <v>151</v>
      </c>
      <c r="D150" s="39" t="str">
        <f t="shared" si="32"/>
        <v>24</v>
      </c>
      <c r="E150" s="42" t="str">
        <f t="shared" si="26"/>
        <v>30</v>
      </c>
      <c r="F150" s="295" t="s">
        <v>628</v>
      </c>
      <c r="G150" s="295" t="s">
        <v>53</v>
      </c>
      <c r="H150" s="295">
        <v>54.0</v>
      </c>
      <c r="I150" s="295">
        <v>58.5</v>
      </c>
      <c r="J150" s="295" t="s">
        <v>629</v>
      </c>
      <c r="K150" s="18"/>
      <c r="L150" s="18"/>
    </row>
    <row r="151" hidden="1">
      <c r="A151" s="41">
        <v>151.0</v>
      </c>
      <c r="B151" s="41" t="s">
        <v>272</v>
      </c>
      <c r="C151" s="295" t="s">
        <v>51</v>
      </c>
      <c r="D151" s="39" t="str">
        <f t="shared" si="32"/>
        <v>05</v>
      </c>
      <c r="E151" s="42" t="str">
        <f t="shared" si="26"/>
        <v>30</v>
      </c>
      <c r="F151" s="295" t="s">
        <v>630</v>
      </c>
      <c r="G151" s="295" t="s">
        <v>24</v>
      </c>
      <c r="H151" s="295">
        <v>76.0</v>
      </c>
      <c r="I151" s="295">
        <v>85.3</v>
      </c>
      <c r="J151" s="295" t="s">
        <v>631</v>
      </c>
      <c r="K151" s="18"/>
      <c r="L151" s="18"/>
    </row>
    <row r="152" hidden="1">
      <c r="A152" s="41">
        <v>152.0</v>
      </c>
      <c r="B152" s="41" t="s">
        <v>272</v>
      </c>
      <c r="C152" s="295" t="s">
        <v>51</v>
      </c>
      <c r="D152" s="39" t="str">
        <f t="shared" si="32"/>
        <v>06</v>
      </c>
      <c r="E152" s="42" t="str">
        <f>RIGHT(F152,3)</f>
        <v>03A</v>
      </c>
      <c r="F152" s="295" t="s">
        <v>633</v>
      </c>
      <c r="G152" s="295" t="s">
        <v>24</v>
      </c>
      <c r="H152" s="295">
        <v>72.0</v>
      </c>
      <c r="I152" s="295">
        <v>80.0</v>
      </c>
      <c r="J152" s="295" t="s">
        <v>634</v>
      </c>
      <c r="K152" s="18"/>
      <c r="L152" s="18"/>
    </row>
    <row r="153" hidden="1">
      <c r="A153" s="41">
        <v>153.0</v>
      </c>
      <c r="B153" s="41" t="s">
        <v>272</v>
      </c>
      <c r="C153" s="295" t="s">
        <v>51</v>
      </c>
      <c r="D153" s="39" t="str">
        <f t="shared" si="32"/>
        <v>16</v>
      </c>
      <c r="E153" s="42" t="str">
        <f t="shared" ref="E153:E156" si="33">RIGHT(F153,2)</f>
        <v>23</v>
      </c>
      <c r="F153" s="295" t="s">
        <v>635</v>
      </c>
      <c r="G153" s="295" t="s">
        <v>53</v>
      </c>
      <c r="H153" s="295">
        <v>54.4</v>
      </c>
      <c r="I153" s="295">
        <v>60.8</v>
      </c>
      <c r="J153" s="295" t="s">
        <v>636</v>
      </c>
      <c r="K153" s="18"/>
      <c r="L153" s="18"/>
    </row>
    <row r="154" ht="33.75" hidden="1" customHeight="1">
      <c r="A154" s="41">
        <v>154.0</v>
      </c>
      <c r="B154" s="41" t="s">
        <v>272</v>
      </c>
      <c r="C154" s="295" t="s">
        <v>33</v>
      </c>
      <c r="D154" s="39" t="str">
        <f>mid(F154,2,2)</f>
        <v>06</v>
      </c>
      <c r="E154" s="42" t="str">
        <f t="shared" si="33"/>
        <v>38</v>
      </c>
      <c r="F154" s="295" t="s">
        <v>637</v>
      </c>
      <c r="G154" s="295" t="s">
        <v>53</v>
      </c>
      <c r="H154" s="295">
        <v>54.1</v>
      </c>
      <c r="I154" s="295">
        <v>59.0</v>
      </c>
      <c r="J154" s="327" t="s">
        <v>639</v>
      </c>
      <c r="K154" s="18"/>
      <c r="L154" s="18"/>
    </row>
    <row r="155" ht="27.75" hidden="1" customHeight="1">
      <c r="A155" s="41">
        <v>155.0</v>
      </c>
      <c r="B155" s="41" t="s">
        <v>272</v>
      </c>
      <c r="C155" s="295" t="s">
        <v>51</v>
      </c>
      <c r="D155" s="39" t="str">
        <f>mid(F155,3,3)</f>
        <v>03A</v>
      </c>
      <c r="E155" s="42" t="str">
        <f t="shared" si="33"/>
        <v>03</v>
      </c>
      <c r="F155" s="295" t="s">
        <v>640</v>
      </c>
      <c r="G155" s="295" t="s">
        <v>53</v>
      </c>
      <c r="H155" s="295">
        <v>53.9</v>
      </c>
      <c r="I155" s="295">
        <v>592.0</v>
      </c>
      <c r="J155" s="327" t="s">
        <v>641</v>
      </c>
      <c r="K155" s="18"/>
      <c r="L155" s="18"/>
    </row>
    <row r="156" hidden="1">
      <c r="A156" s="41">
        <v>156.0</v>
      </c>
      <c r="B156" s="41" t="s">
        <v>272</v>
      </c>
      <c r="C156" s="295" t="s">
        <v>51</v>
      </c>
      <c r="D156" s="39" t="str">
        <f t="shared" ref="D156:D159" si="34">mid(F156,3,2)</f>
        <v>05</v>
      </c>
      <c r="E156" s="42" t="str">
        <f t="shared" si="33"/>
        <v>05</v>
      </c>
      <c r="F156" s="295" t="s">
        <v>642</v>
      </c>
      <c r="G156" s="295" t="s">
        <v>53</v>
      </c>
      <c r="H156" s="295">
        <v>53.8</v>
      </c>
      <c r="I156" s="328"/>
      <c r="J156" s="295" t="s">
        <v>644</v>
      </c>
      <c r="K156" s="18"/>
      <c r="L156" s="18"/>
    </row>
    <row r="157" hidden="1">
      <c r="A157" s="41">
        <v>157.0</v>
      </c>
      <c r="B157" s="41" t="s">
        <v>272</v>
      </c>
      <c r="C157" s="295" t="s">
        <v>51</v>
      </c>
      <c r="D157" s="39" t="str">
        <f t="shared" si="34"/>
        <v>09</v>
      </c>
      <c r="E157" s="42" t="str">
        <f>RIGHT(F157,3)</f>
        <v>03A</v>
      </c>
      <c r="F157" s="295" t="s">
        <v>646</v>
      </c>
      <c r="G157" s="295" t="s">
        <v>24</v>
      </c>
      <c r="H157" s="295">
        <v>72.0</v>
      </c>
      <c r="I157" s="295">
        <v>80.0</v>
      </c>
      <c r="J157" s="295" t="s">
        <v>647</v>
      </c>
      <c r="K157" s="18"/>
      <c r="L157" s="18"/>
    </row>
    <row r="158" hidden="1">
      <c r="A158" s="41">
        <v>158.0</v>
      </c>
      <c r="B158" s="41" t="s">
        <v>272</v>
      </c>
      <c r="C158" s="295" t="s">
        <v>51</v>
      </c>
      <c r="D158" s="39" t="str">
        <f t="shared" si="34"/>
        <v>09</v>
      </c>
      <c r="E158" s="42" t="str">
        <f t="shared" ref="E158:E186" si="35">RIGHT(F158,2)</f>
        <v>23</v>
      </c>
      <c r="F158" s="295" t="s">
        <v>648</v>
      </c>
      <c r="G158" s="295" t="s">
        <v>53</v>
      </c>
      <c r="H158" s="295">
        <v>54.4</v>
      </c>
      <c r="I158" s="295">
        <v>60.8</v>
      </c>
      <c r="J158" s="295" t="s">
        <v>650</v>
      </c>
      <c r="K158" s="18"/>
      <c r="L158" s="18"/>
    </row>
    <row r="159" hidden="1">
      <c r="A159" s="41">
        <v>159.0</v>
      </c>
      <c r="B159" s="41" t="s">
        <v>272</v>
      </c>
      <c r="C159" s="295" t="s">
        <v>51</v>
      </c>
      <c r="D159" s="39" t="str">
        <f t="shared" si="34"/>
        <v>07</v>
      </c>
      <c r="E159" s="42" t="str">
        <f t="shared" si="35"/>
        <v>06</v>
      </c>
      <c r="F159" s="295" t="s">
        <v>651</v>
      </c>
      <c r="G159" s="295" t="s">
        <v>24</v>
      </c>
      <c r="H159" s="295">
        <v>68.7</v>
      </c>
      <c r="I159" s="295">
        <v>74.6</v>
      </c>
      <c r="J159" s="295" t="s">
        <v>652</v>
      </c>
      <c r="K159" s="18"/>
      <c r="L159" s="18"/>
    </row>
    <row r="160" hidden="1">
      <c r="A160" s="41">
        <v>160.0</v>
      </c>
      <c r="B160" s="41" t="s">
        <v>272</v>
      </c>
      <c r="C160" s="295" t="s">
        <v>51</v>
      </c>
      <c r="D160" s="39" t="str">
        <f t="shared" ref="D160:D162" si="36">mid(F160,3,3)</f>
        <v>12A</v>
      </c>
      <c r="E160" s="42" t="str">
        <f t="shared" si="35"/>
        <v>18</v>
      </c>
      <c r="F160" s="295" t="s">
        <v>653</v>
      </c>
      <c r="G160" s="295" t="s">
        <v>53</v>
      </c>
      <c r="H160" s="295">
        <v>53.7</v>
      </c>
      <c r="I160" s="295">
        <v>59.2</v>
      </c>
      <c r="J160" s="295" t="s">
        <v>654</v>
      </c>
      <c r="K160" s="18"/>
      <c r="L160" s="18"/>
    </row>
    <row r="161" hidden="1">
      <c r="A161" s="41">
        <v>161.0</v>
      </c>
      <c r="B161" s="41" t="s">
        <v>272</v>
      </c>
      <c r="C161" s="295" t="s">
        <v>51</v>
      </c>
      <c r="D161" s="39" t="str">
        <f t="shared" si="36"/>
        <v>12A</v>
      </c>
      <c r="E161" s="42" t="str">
        <f t="shared" si="35"/>
        <v>24</v>
      </c>
      <c r="F161" s="295" t="s">
        <v>656</v>
      </c>
      <c r="G161" s="295" t="s">
        <v>24</v>
      </c>
      <c r="H161" s="295">
        <v>72.7</v>
      </c>
      <c r="I161" s="295">
        <v>82.2</v>
      </c>
      <c r="J161" s="295" t="s">
        <v>657</v>
      </c>
      <c r="K161" s="18"/>
      <c r="L161" s="18"/>
    </row>
    <row r="162" hidden="1">
      <c r="A162" s="41">
        <v>162.0</v>
      </c>
      <c r="B162" s="41" t="s">
        <v>272</v>
      </c>
      <c r="C162" s="295" t="s">
        <v>51</v>
      </c>
      <c r="D162" s="39" t="str">
        <f t="shared" si="36"/>
        <v>12A</v>
      </c>
      <c r="E162" s="42" t="str">
        <f t="shared" si="35"/>
        <v>29</v>
      </c>
      <c r="F162" s="295" t="s">
        <v>658</v>
      </c>
      <c r="G162" s="295" t="s">
        <v>53</v>
      </c>
      <c r="H162" s="295">
        <v>55.0</v>
      </c>
      <c r="I162" s="295">
        <v>61.0</v>
      </c>
      <c r="J162" s="295" t="s">
        <v>659</v>
      </c>
      <c r="K162" s="18"/>
      <c r="L162" s="18"/>
    </row>
    <row r="163" hidden="1">
      <c r="A163" s="41">
        <v>163.0</v>
      </c>
      <c r="B163" s="41" t="s">
        <v>272</v>
      </c>
      <c r="C163" s="295" t="s">
        <v>51</v>
      </c>
      <c r="D163" s="39" t="str">
        <f t="shared" ref="D163:D171" si="37">mid(F163,3,2)</f>
        <v>19</v>
      </c>
      <c r="E163" s="42" t="str">
        <f t="shared" si="35"/>
        <v>01</v>
      </c>
      <c r="F163" s="295" t="s">
        <v>661</v>
      </c>
      <c r="G163" s="295" t="s">
        <v>53</v>
      </c>
      <c r="H163" s="295">
        <v>53.9</v>
      </c>
      <c r="I163" s="295">
        <v>59.2</v>
      </c>
      <c r="J163" s="295" t="s">
        <v>662</v>
      </c>
      <c r="K163" s="18"/>
      <c r="L163" s="18"/>
    </row>
    <row r="164" hidden="1">
      <c r="A164" s="41">
        <v>164.0</v>
      </c>
      <c r="B164" s="41" t="s">
        <v>272</v>
      </c>
      <c r="C164" s="295" t="s">
        <v>51</v>
      </c>
      <c r="D164" s="39" t="str">
        <f t="shared" si="37"/>
        <v>19</v>
      </c>
      <c r="E164" s="42" t="str">
        <f t="shared" si="35"/>
        <v>24</v>
      </c>
      <c r="F164" s="295" t="s">
        <v>663</v>
      </c>
      <c r="G164" s="295" t="s">
        <v>24</v>
      </c>
      <c r="H164" s="295">
        <v>72.7</v>
      </c>
      <c r="I164" s="295">
        <v>82.2</v>
      </c>
      <c r="J164" s="295" t="s">
        <v>664</v>
      </c>
      <c r="K164" s="18"/>
      <c r="L164" s="18"/>
    </row>
    <row r="165" hidden="1">
      <c r="A165" s="41">
        <v>165.0</v>
      </c>
      <c r="B165" s="41" t="s">
        <v>272</v>
      </c>
      <c r="C165" s="295" t="s">
        <v>51</v>
      </c>
      <c r="D165" s="39" t="str">
        <f t="shared" si="37"/>
        <v>20</v>
      </c>
      <c r="E165" s="42" t="str">
        <f t="shared" si="35"/>
        <v>17</v>
      </c>
      <c r="F165" s="295" t="s">
        <v>666</v>
      </c>
      <c r="G165" s="295" t="s">
        <v>24</v>
      </c>
      <c r="H165" s="295">
        <v>70.5</v>
      </c>
      <c r="I165" s="295">
        <v>80.1</v>
      </c>
      <c r="J165" s="295" t="s">
        <v>667</v>
      </c>
      <c r="K165" s="18"/>
      <c r="L165" s="18"/>
    </row>
    <row r="166" hidden="1">
      <c r="A166" s="41">
        <v>166.0</v>
      </c>
      <c r="B166" s="41" t="s">
        <v>272</v>
      </c>
      <c r="C166" s="295" t="s">
        <v>51</v>
      </c>
      <c r="D166" s="39" t="str">
        <f t="shared" si="37"/>
        <v>21</v>
      </c>
      <c r="E166" s="42" t="str">
        <f t="shared" si="35"/>
        <v>28</v>
      </c>
      <c r="F166" s="295" t="s">
        <v>669</v>
      </c>
      <c r="G166" s="295" t="s">
        <v>24</v>
      </c>
      <c r="H166" s="295">
        <v>80.7</v>
      </c>
      <c r="I166" s="295">
        <v>88.6</v>
      </c>
      <c r="J166" s="295" t="s">
        <v>670</v>
      </c>
      <c r="K166" s="18"/>
      <c r="L166" s="18"/>
    </row>
    <row r="167" hidden="1">
      <c r="A167" s="41">
        <v>167.0</v>
      </c>
      <c r="B167" s="41" t="s">
        <v>671</v>
      </c>
      <c r="C167" s="331" t="s">
        <v>51</v>
      </c>
      <c r="D167" s="39" t="str">
        <f t="shared" si="37"/>
        <v>10</v>
      </c>
      <c r="E167" s="42" t="str">
        <f t="shared" si="35"/>
        <v>01</v>
      </c>
      <c r="F167" s="331" t="s">
        <v>672</v>
      </c>
      <c r="G167" s="331" t="s">
        <v>60</v>
      </c>
      <c r="H167" s="331">
        <v>59.2</v>
      </c>
      <c r="I167" s="331">
        <v>53.9</v>
      </c>
      <c r="J167" s="332">
        <v>4.709501877E9</v>
      </c>
      <c r="K167" s="18"/>
      <c r="L167" s="18"/>
    </row>
    <row r="168" hidden="1">
      <c r="A168" s="41">
        <v>168.0</v>
      </c>
      <c r="B168" s="41" t="s">
        <v>671</v>
      </c>
      <c r="C168" s="331" t="s">
        <v>51</v>
      </c>
      <c r="D168" s="39" t="str">
        <f t="shared" si="37"/>
        <v>10</v>
      </c>
      <c r="E168" s="42" t="str">
        <f t="shared" si="35"/>
        <v>22</v>
      </c>
      <c r="F168" s="331" t="s">
        <v>674</v>
      </c>
      <c r="G168" s="331" t="s">
        <v>60</v>
      </c>
      <c r="H168" s="331">
        <v>57.3</v>
      </c>
      <c r="I168" s="331">
        <v>52.1</v>
      </c>
      <c r="J168" s="332">
        <v>4.344167001E9</v>
      </c>
      <c r="K168" s="18"/>
      <c r="L168" s="18"/>
    </row>
    <row r="169" hidden="1">
      <c r="A169" s="41">
        <v>169.0</v>
      </c>
      <c r="B169" s="41" t="s">
        <v>671</v>
      </c>
      <c r="C169" s="331" t="s">
        <v>51</v>
      </c>
      <c r="D169" s="39" t="str">
        <f t="shared" si="37"/>
        <v>10</v>
      </c>
      <c r="E169" s="42" t="str">
        <f t="shared" si="35"/>
        <v>27</v>
      </c>
      <c r="F169" s="331" t="s">
        <v>675</v>
      </c>
      <c r="G169" s="331" t="s">
        <v>60</v>
      </c>
      <c r="H169" s="331">
        <v>55.4</v>
      </c>
      <c r="I169" s="331">
        <v>50.4</v>
      </c>
      <c r="J169" s="332">
        <v>3.866742918E9</v>
      </c>
      <c r="K169" s="18"/>
      <c r="L169" s="18"/>
    </row>
    <row r="170" hidden="1">
      <c r="A170" s="41">
        <v>170.0</v>
      </c>
      <c r="B170" s="41" t="s">
        <v>671</v>
      </c>
      <c r="C170" s="331" t="s">
        <v>51</v>
      </c>
      <c r="D170" s="39" t="str">
        <f t="shared" si="37"/>
        <v>10</v>
      </c>
      <c r="E170" s="42" t="str">
        <f t="shared" si="35"/>
        <v>28</v>
      </c>
      <c r="F170" s="331" t="s">
        <v>676</v>
      </c>
      <c r="G170" s="331" t="s">
        <v>68</v>
      </c>
      <c r="H170" s="331">
        <v>38.5</v>
      </c>
      <c r="I170" s="331">
        <v>88.7</v>
      </c>
      <c r="J170" s="332">
        <v>5.61555809E9</v>
      </c>
      <c r="K170" s="18"/>
      <c r="L170" s="18"/>
    </row>
    <row r="171" hidden="1">
      <c r="A171" s="41">
        <v>171.0</v>
      </c>
      <c r="B171" s="41" t="s">
        <v>671</v>
      </c>
      <c r="C171" s="331" t="s">
        <v>51</v>
      </c>
      <c r="D171" s="39" t="str">
        <f t="shared" si="37"/>
        <v>10</v>
      </c>
      <c r="E171" s="42" t="str">
        <f t="shared" si="35"/>
        <v>30</v>
      </c>
      <c r="F171" s="331" t="s">
        <v>678</v>
      </c>
      <c r="G171" s="331" t="s">
        <v>68</v>
      </c>
      <c r="H171" s="331">
        <v>85.3</v>
      </c>
      <c r="I171" s="331">
        <v>76.0</v>
      </c>
      <c r="J171" s="332">
        <v>7.367546596E9</v>
      </c>
      <c r="K171" s="18"/>
      <c r="L171" s="18"/>
    </row>
    <row r="172" hidden="1">
      <c r="A172" s="41">
        <v>172.0</v>
      </c>
      <c r="B172" s="41" t="s">
        <v>671</v>
      </c>
      <c r="C172" s="331" t="s">
        <v>51</v>
      </c>
      <c r="D172" s="39" t="str">
        <f>mid(F172,3,3)</f>
        <v>12B</v>
      </c>
      <c r="E172" s="42" t="str">
        <f t="shared" si="35"/>
        <v>28</v>
      </c>
      <c r="F172" s="331" t="s">
        <v>679</v>
      </c>
      <c r="G172" s="331" t="s">
        <v>68</v>
      </c>
      <c r="H172" s="331">
        <v>33.6</v>
      </c>
      <c r="I172" s="331">
        <v>80.7</v>
      </c>
      <c r="J172" s="332">
        <v>5.532232465E9</v>
      </c>
      <c r="K172" s="18"/>
      <c r="L172" s="18"/>
    </row>
    <row r="173" hidden="1">
      <c r="A173" s="41">
        <v>173.0</v>
      </c>
      <c r="B173" s="41" t="s">
        <v>671</v>
      </c>
      <c r="C173" s="331" t="s">
        <v>51</v>
      </c>
      <c r="D173" s="39" t="str">
        <f>mid(F173,3,2)</f>
        <v>17</v>
      </c>
      <c r="E173" s="42" t="str">
        <f t="shared" si="35"/>
        <v>03</v>
      </c>
      <c r="F173" s="331" t="s">
        <v>682</v>
      </c>
      <c r="G173" s="331" t="s">
        <v>60</v>
      </c>
      <c r="H173" s="331">
        <v>59.2</v>
      </c>
      <c r="I173" s="331">
        <v>53.9</v>
      </c>
      <c r="J173" s="332">
        <v>4.954378272E9</v>
      </c>
      <c r="K173" s="18"/>
      <c r="L173" s="18"/>
    </row>
    <row r="174" hidden="1">
      <c r="A174" s="41">
        <v>174.0</v>
      </c>
      <c r="B174" s="41" t="s">
        <v>671</v>
      </c>
      <c r="C174" s="331" t="s">
        <v>33</v>
      </c>
      <c r="D174" s="39" t="str">
        <f t="shared" ref="D174:D176" si="38">mid(F174,2,2)</f>
        <v>06</v>
      </c>
      <c r="E174" s="42" t="str">
        <f t="shared" si="35"/>
        <v>02</v>
      </c>
      <c r="F174" s="331" t="s">
        <v>683</v>
      </c>
      <c r="G174" s="331" t="s">
        <v>60</v>
      </c>
      <c r="H174" s="331">
        <v>58.5</v>
      </c>
      <c r="I174" s="331">
        <v>52.8</v>
      </c>
      <c r="J174" s="332">
        <v>4.16413666E9</v>
      </c>
      <c r="K174" s="18"/>
      <c r="L174" s="18"/>
    </row>
    <row r="175" hidden="1">
      <c r="A175" s="41">
        <v>175.0</v>
      </c>
      <c r="B175" s="41" t="s">
        <v>671</v>
      </c>
      <c r="C175" s="331" t="s">
        <v>33</v>
      </c>
      <c r="D175" s="39" t="str">
        <f t="shared" si="38"/>
        <v>07</v>
      </c>
      <c r="E175" s="42" t="str">
        <f t="shared" si="35"/>
        <v>37</v>
      </c>
      <c r="F175" s="331" t="s">
        <v>684</v>
      </c>
      <c r="G175" s="331" t="s">
        <v>60</v>
      </c>
      <c r="H175" s="331">
        <v>58.5</v>
      </c>
      <c r="I175" s="331">
        <v>54.1</v>
      </c>
      <c r="J175" s="332">
        <v>5.566681867E9</v>
      </c>
      <c r="K175" s="18"/>
      <c r="L175" s="18"/>
    </row>
    <row r="176" hidden="1">
      <c r="A176" s="41">
        <v>176.0</v>
      </c>
      <c r="B176" s="41" t="s">
        <v>671</v>
      </c>
      <c r="C176" s="331" t="s">
        <v>33</v>
      </c>
      <c r="D176" s="39" t="str">
        <f t="shared" si="38"/>
        <v>19</v>
      </c>
      <c r="E176" s="42" t="str">
        <f t="shared" si="35"/>
        <v>05</v>
      </c>
      <c r="F176" s="331" t="s">
        <v>687</v>
      </c>
      <c r="G176" s="331" t="s">
        <v>60</v>
      </c>
      <c r="H176" s="331">
        <v>59.1</v>
      </c>
      <c r="I176" s="331">
        <v>54.6</v>
      </c>
      <c r="J176" s="332">
        <v>4.782089624E9</v>
      </c>
      <c r="K176" s="18"/>
      <c r="L176" s="18"/>
    </row>
    <row r="177" hidden="1">
      <c r="A177" s="41">
        <v>177.0</v>
      </c>
      <c r="B177" s="41" t="s">
        <v>671</v>
      </c>
      <c r="C177" s="331" t="s">
        <v>22</v>
      </c>
      <c r="D177" s="39" t="str">
        <f t="shared" ref="D177:D186" si="39">mid(F177,3,2)</f>
        <v>23</v>
      </c>
      <c r="E177" s="42" t="str">
        <f t="shared" si="35"/>
        <v>22</v>
      </c>
      <c r="F177" s="331" t="s">
        <v>688</v>
      </c>
      <c r="G177" s="331" t="s">
        <v>60</v>
      </c>
      <c r="H177" s="331">
        <v>58.5</v>
      </c>
      <c r="I177" s="331">
        <v>53.9</v>
      </c>
      <c r="J177" s="332">
        <v>5.260168522E9</v>
      </c>
      <c r="K177" s="18"/>
      <c r="L177" s="18"/>
    </row>
    <row r="178" hidden="1">
      <c r="A178" s="41">
        <v>178.0</v>
      </c>
      <c r="B178" s="41" t="s">
        <v>671</v>
      </c>
      <c r="C178" s="331" t="s">
        <v>22</v>
      </c>
      <c r="D178" s="39" t="str">
        <f t="shared" si="39"/>
        <v>24</v>
      </c>
      <c r="E178" s="42" t="str">
        <f t="shared" si="35"/>
        <v>2A</v>
      </c>
      <c r="F178" s="331" t="s">
        <v>691</v>
      </c>
      <c r="G178" s="331" t="s">
        <v>60</v>
      </c>
      <c r="H178" s="331">
        <v>63.8</v>
      </c>
      <c r="I178" s="331">
        <v>59.5</v>
      </c>
      <c r="J178" s="332">
        <v>3.949470622E9</v>
      </c>
      <c r="K178" s="18"/>
      <c r="L178" s="18"/>
    </row>
    <row r="179" hidden="1">
      <c r="A179" s="41">
        <v>179.0</v>
      </c>
      <c r="B179" s="41" t="s">
        <v>671</v>
      </c>
      <c r="C179" s="331" t="s">
        <v>151</v>
      </c>
      <c r="D179" s="39" t="str">
        <f t="shared" si="39"/>
        <v>11</v>
      </c>
      <c r="E179" s="42" t="str">
        <f t="shared" si="35"/>
        <v>02</v>
      </c>
      <c r="F179" s="331" t="s">
        <v>692</v>
      </c>
      <c r="G179" s="331" t="s">
        <v>60</v>
      </c>
      <c r="H179" s="331">
        <v>62.6</v>
      </c>
      <c r="I179" s="331">
        <v>58.1</v>
      </c>
      <c r="J179" s="332">
        <v>5.16509041E9</v>
      </c>
      <c r="K179" s="18"/>
      <c r="L179" s="18"/>
    </row>
    <row r="180" hidden="1">
      <c r="A180" s="41">
        <v>180.0</v>
      </c>
      <c r="B180" s="41" t="s">
        <v>671</v>
      </c>
      <c r="C180" s="331" t="s">
        <v>151</v>
      </c>
      <c r="D180" s="39" t="str">
        <f t="shared" si="39"/>
        <v>11</v>
      </c>
      <c r="E180" s="42" t="str">
        <f t="shared" si="35"/>
        <v>09</v>
      </c>
      <c r="F180" s="331" t="s">
        <v>694</v>
      </c>
      <c r="G180" s="331" t="s">
        <v>68</v>
      </c>
      <c r="H180" s="331">
        <v>81.2</v>
      </c>
      <c r="I180" s="331">
        <v>75.3</v>
      </c>
      <c r="J180" s="332">
        <v>6.810783886E9</v>
      </c>
      <c r="K180" s="18"/>
      <c r="L180" s="18"/>
    </row>
    <row r="181" hidden="1">
      <c r="A181" s="41">
        <v>181.0</v>
      </c>
      <c r="B181" s="41" t="s">
        <v>671</v>
      </c>
      <c r="C181" s="331" t="s">
        <v>151</v>
      </c>
      <c r="D181" s="39" t="str">
        <f t="shared" si="39"/>
        <v>30</v>
      </c>
      <c r="E181" s="42" t="str">
        <f t="shared" si="35"/>
        <v>30</v>
      </c>
      <c r="F181" s="331" t="s">
        <v>695</v>
      </c>
      <c r="G181" s="331" t="s">
        <v>60</v>
      </c>
      <c r="H181" s="331">
        <v>58.5</v>
      </c>
      <c r="I181" s="331">
        <v>54.0</v>
      </c>
      <c r="J181" s="332">
        <v>3.91312905E9</v>
      </c>
      <c r="K181" s="18"/>
      <c r="L181" s="18"/>
    </row>
    <row r="182" hidden="1">
      <c r="A182" s="41">
        <v>182.0</v>
      </c>
      <c r="B182" s="41" t="s">
        <v>671</v>
      </c>
      <c r="C182" s="331" t="s">
        <v>51</v>
      </c>
      <c r="D182" s="39" t="str">
        <f t="shared" si="39"/>
        <v>19</v>
      </c>
      <c r="E182" s="42" t="str">
        <f t="shared" si="35"/>
        <v>28</v>
      </c>
      <c r="F182" s="331" t="s">
        <v>698</v>
      </c>
      <c r="G182" s="331" t="s">
        <v>68</v>
      </c>
      <c r="H182" s="331">
        <v>88.6</v>
      </c>
      <c r="I182" s="331">
        <v>80.7</v>
      </c>
      <c r="J182" s="332">
        <v>5.990523403E9</v>
      </c>
      <c r="K182" s="18"/>
      <c r="L182" s="18"/>
    </row>
    <row r="183" hidden="1">
      <c r="A183" s="41">
        <v>183.0</v>
      </c>
      <c r="B183" s="41" t="s">
        <v>671</v>
      </c>
      <c r="C183" s="41" t="s">
        <v>151</v>
      </c>
      <c r="D183" s="39" t="str">
        <f t="shared" si="39"/>
        <v>18</v>
      </c>
      <c r="E183" s="42" t="str">
        <f t="shared" si="35"/>
        <v>05</v>
      </c>
      <c r="F183" s="41" t="s">
        <v>699</v>
      </c>
      <c r="G183" s="331" t="s">
        <v>60</v>
      </c>
      <c r="H183" s="331">
        <v>58.5</v>
      </c>
      <c r="I183" s="41">
        <v>54.1</v>
      </c>
      <c r="J183" s="132">
        <v>4.944389565E9</v>
      </c>
      <c r="K183" s="18"/>
      <c r="L183" s="18"/>
    </row>
    <row r="184" hidden="1">
      <c r="A184" s="41">
        <v>184.0</v>
      </c>
      <c r="B184" s="41" t="s">
        <v>671</v>
      </c>
      <c r="C184" s="41" t="s">
        <v>151</v>
      </c>
      <c r="D184" s="39" t="str">
        <f t="shared" si="39"/>
        <v>20</v>
      </c>
      <c r="E184" s="42" t="str">
        <f t="shared" si="35"/>
        <v>26</v>
      </c>
      <c r="F184" s="41" t="s">
        <v>700</v>
      </c>
      <c r="G184" s="331" t="s">
        <v>60</v>
      </c>
      <c r="H184" s="41">
        <v>62.6</v>
      </c>
      <c r="I184" s="41">
        <v>58.2</v>
      </c>
      <c r="J184" s="132">
        <v>4.091782237E9</v>
      </c>
      <c r="K184" s="18"/>
      <c r="L184" s="18"/>
    </row>
    <row r="185" hidden="1">
      <c r="A185" s="41">
        <v>185.0</v>
      </c>
      <c r="B185" s="41" t="s">
        <v>703</v>
      </c>
      <c r="C185" s="331" t="s">
        <v>51</v>
      </c>
      <c r="D185" s="39" t="str">
        <f t="shared" si="39"/>
        <v>06</v>
      </c>
      <c r="E185" s="42" t="str">
        <f t="shared" si="35"/>
        <v>01</v>
      </c>
      <c r="F185" s="331" t="s">
        <v>704</v>
      </c>
      <c r="G185" s="331" t="s">
        <v>53</v>
      </c>
      <c r="H185" s="331">
        <v>59.2</v>
      </c>
      <c r="I185" s="331">
        <v>53.9</v>
      </c>
      <c r="J185" s="332">
        <v>4.569572508E9</v>
      </c>
      <c r="K185" s="18"/>
      <c r="L185" s="18"/>
    </row>
    <row r="186" hidden="1">
      <c r="A186" s="41">
        <v>186.0</v>
      </c>
      <c r="B186" s="41" t="s">
        <v>703</v>
      </c>
      <c r="C186" s="331" t="s">
        <v>51</v>
      </c>
      <c r="D186" s="39" t="str">
        <f t="shared" si="39"/>
        <v>06</v>
      </c>
      <c r="E186" s="42" t="str">
        <f t="shared" si="35"/>
        <v>24</v>
      </c>
      <c r="F186" s="331" t="s">
        <v>705</v>
      </c>
      <c r="G186" s="331" t="s">
        <v>24</v>
      </c>
      <c r="H186" s="331">
        <v>82.2</v>
      </c>
      <c r="I186" s="331">
        <v>72.7</v>
      </c>
      <c r="J186" s="332">
        <v>5.821188221E9</v>
      </c>
      <c r="K186" s="18"/>
      <c r="L186" s="18"/>
    </row>
    <row r="187" hidden="1">
      <c r="A187" s="41">
        <v>187.0</v>
      </c>
      <c r="B187" s="41" t="s">
        <v>703</v>
      </c>
      <c r="C187" s="331" t="s">
        <v>51</v>
      </c>
      <c r="D187" s="39" t="str">
        <f t="shared" ref="D187:D188" si="40">mid(F187,3,3)</f>
        <v>12A</v>
      </c>
      <c r="E187" s="42" t="str">
        <f>RIGHT(F187,3)</f>
        <v>03A</v>
      </c>
      <c r="F187" s="331" t="s">
        <v>708</v>
      </c>
      <c r="G187" s="331" t="s">
        <v>24</v>
      </c>
      <c r="H187" s="331">
        <v>80.0</v>
      </c>
      <c r="I187" s="331">
        <v>72.0</v>
      </c>
      <c r="J187" s="332">
        <v>5.714485742E9</v>
      </c>
      <c r="K187" s="18"/>
      <c r="L187" s="18"/>
    </row>
    <row r="188" hidden="1">
      <c r="A188" s="41">
        <v>188.0</v>
      </c>
      <c r="B188" s="41" t="s">
        <v>703</v>
      </c>
      <c r="C188" s="331" t="s">
        <v>51</v>
      </c>
      <c r="D188" s="39" t="str">
        <f t="shared" si="40"/>
        <v>12A</v>
      </c>
      <c r="E188" s="42" t="str">
        <f t="shared" ref="E188:E211" si="41">RIGHT(F188,2)</f>
        <v>25</v>
      </c>
      <c r="F188" s="331" t="s">
        <v>710</v>
      </c>
      <c r="G188" s="331" t="s">
        <v>89</v>
      </c>
      <c r="H188" s="331">
        <v>34.5</v>
      </c>
      <c r="I188" s="331">
        <v>30.0</v>
      </c>
      <c r="J188" s="332">
        <v>2.562797242E9</v>
      </c>
      <c r="K188" s="18"/>
      <c r="L188" s="18"/>
    </row>
    <row r="189" hidden="1">
      <c r="A189" s="41">
        <v>189.0</v>
      </c>
      <c r="B189" s="41" t="s">
        <v>703</v>
      </c>
      <c r="C189" s="331" t="s">
        <v>51</v>
      </c>
      <c r="D189" s="39" t="str">
        <f t="shared" ref="D189:D193" si="42">mid(F189,3,2)</f>
        <v>08</v>
      </c>
      <c r="E189" s="42" t="str">
        <f t="shared" si="41"/>
        <v>17</v>
      </c>
      <c r="F189" s="331" t="s">
        <v>712</v>
      </c>
      <c r="G189" s="331" t="s">
        <v>24</v>
      </c>
      <c r="H189" s="331">
        <v>80.1</v>
      </c>
      <c r="I189" s="331">
        <v>70.5</v>
      </c>
      <c r="J189" s="332">
        <v>5.749295303E9</v>
      </c>
      <c r="K189" s="18"/>
      <c r="L189" s="18"/>
    </row>
    <row r="190" hidden="1">
      <c r="A190" s="41">
        <v>190.0</v>
      </c>
      <c r="B190" s="41" t="s">
        <v>703</v>
      </c>
      <c r="C190" s="331" t="s">
        <v>51</v>
      </c>
      <c r="D190" s="39" t="str">
        <f t="shared" si="42"/>
        <v>19</v>
      </c>
      <c r="E190" s="42" t="str">
        <f t="shared" si="41"/>
        <v>03</v>
      </c>
      <c r="F190" s="331" t="s">
        <v>713</v>
      </c>
      <c r="G190" s="331" t="s">
        <v>53</v>
      </c>
      <c r="H190" s="331">
        <v>59.2</v>
      </c>
      <c r="I190" s="331">
        <v>53.9</v>
      </c>
      <c r="J190" s="332">
        <v>5.024342956E9</v>
      </c>
      <c r="K190" s="18"/>
      <c r="L190" s="18"/>
    </row>
    <row r="191" hidden="1">
      <c r="A191" s="41">
        <v>191.0</v>
      </c>
      <c r="B191" s="41" t="s">
        <v>703</v>
      </c>
      <c r="C191" s="331" t="s">
        <v>51</v>
      </c>
      <c r="D191" s="39" t="str">
        <f t="shared" si="42"/>
        <v>20</v>
      </c>
      <c r="E191" s="42" t="str">
        <f t="shared" si="41"/>
        <v>06</v>
      </c>
      <c r="F191" s="331" t="s">
        <v>714</v>
      </c>
      <c r="G191" s="331" t="s">
        <v>24</v>
      </c>
      <c r="H191" s="331">
        <v>74.6</v>
      </c>
      <c r="I191" s="331">
        <v>66.7</v>
      </c>
      <c r="J191" s="332">
        <v>6.645886799E9</v>
      </c>
      <c r="K191" s="18"/>
      <c r="L191" s="18"/>
    </row>
    <row r="192" hidden="1">
      <c r="A192" s="41">
        <v>192.0</v>
      </c>
      <c r="B192" s="41" t="s">
        <v>703</v>
      </c>
      <c r="C192" s="331" t="s">
        <v>51</v>
      </c>
      <c r="D192" s="39" t="str">
        <f t="shared" si="42"/>
        <v>20</v>
      </c>
      <c r="E192" s="42" t="str">
        <f t="shared" si="41"/>
        <v>22</v>
      </c>
      <c r="F192" s="331" t="s">
        <v>716</v>
      </c>
      <c r="G192" s="331" t="s">
        <v>53</v>
      </c>
      <c r="H192" s="331">
        <v>57.3</v>
      </c>
      <c r="I192" s="331">
        <v>52.1</v>
      </c>
      <c r="J192" s="332">
        <v>4.666781123E9</v>
      </c>
      <c r="K192" s="18"/>
      <c r="L192" s="18"/>
    </row>
    <row r="193" hidden="1">
      <c r="A193" s="41">
        <v>193.0</v>
      </c>
      <c r="B193" s="41" t="s">
        <v>717</v>
      </c>
      <c r="C193" s="41" t="s">
        <v>22</v>
      </c>
      <c r="D193" s="39" t="str">
        <f t="shared" si="42"/>
        <v>24</v>
      </c>
      <c r="E193" s="42" t="str">
        <f t="shared" si="41"/>
        <v>18</v>
      </c>
      <c r="F193" s="41" t="s">
        <v>718</v>
      </c>
      <c r="G193" s="41" t="s">
        <v>53</v>
      </c>
      <c r="H193" s="132" t="s">
        <v>719</v>
      </c>
      <c r="I193" s="41" t="s">
        <v>720</v>
      </c>
      <c r="J193" s="132">
        <v>4.042958833E9</v>
      </c>
      <c r="K193" s="18"/>
      <c r="L193" s="18"/>
    </row>
    <row r="194" hidden="1">
      <c r="A194" s="41">
        <v>194.0</v>
      </c>
      <c r="B194" s="41" t="s">
        <v>717</v>
      </c>
      <c r="C194" s="41" t="s">
        <v>33</v>
      </c>
      <c r="D194" s="39" t="str">
        <f t="shared" ref="D194:D197" si="43">mid(F194,2,2)</f>
        <v>05</v>
      </c>
      <c r="E194" s="42" t="str">
        <f t="shared" si="41"/>
        <v>08</v>
      </c>
      <c r="F194" s="41" t="s">
        <v>721</v>
      </c>
      <c r="G194" s="41" t="s">
        <v>53</v>
      </c>
      <c r="H194" s="132">
        <v>61.2</v>
      </c>
      <c r="I194" s="41">
        <v>56.7</v>
      </c>
      <c r="J194" s="132">
        <v>4.205556877E9</v>
      </c>
      <c r="K194" s="18"/>
      <c r="L194" s="18"/>
    </row>
    <row r="195" hidden="1">
      <c r="A195" s="41">
        <v>195.0</v>
      </c>
      <c r="B195" s="41" t="s">
        <v>717</v>
      </c>
      <c r="C195" s="41" t="s">
        <v>33</v>
      </c>
      <c r="D195" s="39" t="str">
        <f t="shared" si="43"/>
        <v>20</v>
      </c>
      <c r="E195" s="42" t="str">
        <f t="shared" si="41"/>
        <v>18</v>
      </c>
      <c r="F195" s="41" t="s">
        <v>724</v>
      </c>
      <c r="G195" s="41" t="s">
        <v>53</v>
      </c>
      <c r="H195" s="132">
        <v>59.08</v>
      </c>
      <c r="I195" s="41">
        <v>53.85</v>
      </c>
      <c r="J195" s="132">
        <v>3.900235866E9</v>
      </c>
      <c r="K195" s="18"/>
      <c r="L195" s="18"/>
    </row>
    <row r="196" hidden="1">
      <c r="A196" s="41">
        <v>196.0</v>
      </c>
      <c r="B196" s="41" t="s">
        <v>717</v>
      </c>
      <c r="C196" s="41" t="s">
        <v>33</v>
      </c>
      <c r="D196" s="39" t="str">
        <f t="shared" si="43"/>
        <v>23</v>
      </c>
      <c r="E196" s="42" t="str">
        <f t="shared" si="41"/>
        <v>06</v>
      </c>
      <c r="F196" s="41" t="s">
        <v>429</v>
      </c>
      <c r="G196" s="41" t="s">
        <v>53</v>
      </c>
      <c r="H196" s="132">
        <v>59.1</v>
      </c>
      <c r="I196" s="41">
        <v>53.7</v>
      </c>
      <c r="J196" s="132">
        <v>5.011001341E9</v>
      </c>
      <c r="K196" s="18"/>
      <c r="L196" s="18"/>
    </row>
    <row r="197" hidden="1">
      <c r="A197" s="41">
        <v>197.0</v>
      </c>
      <c r="B197" s="41" t="s">
        <v>717</v>
      </c>
      <c r="C197" s="41" t="s">
        <v>33</v>
      </c>
      <c r="D197" s="39" t="str">
        <f t="shared" si="43"/>
        <v>07</v>
      </c>
      <c r="E197" s="42" t="str">
        <f t="shared" si="41"/>
        <v>38</v>
      </c>
      <c r="F197" s="41" t="s">
        <v>725</v>
      </c>
      <c r="G197" s="41" t="s">
        <v>53</v>
      </c>
      <c r="H197" s="132" t="s">
        <v>161</v>
      </c>
      <c r="I197" s="41" t="s">
        <v>222</v>
      </c>
      <c r="J197" s="132">
        <v>5.566681867E9</v>
      </c>
      <c r="K197" s="18"/>
      <c r="L197" s="18"/>
    </row>
    <row r="198" hidden="1">
      <c r="A198" s="41">
        <v>198.0</v>
      </c>
      <c r="B198" s="41" t="s">
        <v>717</v>
      </c>
      <c r="C198" s="41" t="s">
        <v>33</v>
      </c>
      <c r="D198" s="39" t="str">
        <f>mid(F198,2,3)</f>
        <v>12B</v>
      </c>
      <c r="E198" s="42" t="str">
        <f t="shared" si="41"/>
        <v>32</v>
      </c>
      <c r="F198" s="41" t="s">
        <v>728</v>
      </c>
      <c r="G198" s="41" t="s">
        <v>89</v>
      </c>
      <c r="H198" s="132" t="s">
        <v>362</v>
      </c>
      <c r="I198" s="41" t="s">
        <v>363</v>
      </c>
      <c r="J198" s="132">
        <v>3.629913945E9</v>
      </c>
      <c r="K198" s="18"/>
      <c r="L198" s="18"/>
    </row>
    <row r="199" hidden="1">
      <c r="A199" s="41">
        <v>199.0</v>
      </c>
      <c r="B199" s="41" t="s">
        <v>717</v>
      </c>
      <c r="C199" s="41" t="s">
        <v>151</v>
      </c>
      <c r="D199" s="39" t="str">
        <f t="shared" ref="D199:D207" si="44">mid(F199,3,2)</f>
        <v>11</v>
      </c>
      <c r="E199" s="42" t="str">
        <f t="shared" si="41"/>
        <v>03</v>
      </c>
      <c r="F199" s="41" t="s">
        <v>729</v>
      </c>
      <c r="G199" s="41" t="s">
        <v>53</v>
      </c>
      <c r="H199" s="132" t="s">
        <v>161</v>
      </c>
      <c r="I199" s="41" t="s">
        <v>181</v>
      </c>
      <c r="J199" s="132">
        <v>4.818380382E9</v>
      </c>
      <c r="K199" s="18"/>
      <c r="L199" s="18"/>
    </row>
    <row r="200" hidden="1">
      <c r="A200" s="41">
        <v>200.0</v>
      </c>
      <c r="B200" s="41" t="s">
        <v>717</v>
      </c>
      <c r="C200" s="41" t="s">
        <v>151</v>
      </c>
      <c r="D200" s="39" t="str">
        <f t="shared" si="44"/>
        <v>16</v>
      </c>
      <c r="E200" s="42" t="str">
        <f t="shared" si="41"/>
        <v>32</v>
      </c>
      <c r="F200" s="41" t="s">
        <v>730</v>
      </c>
      <c r="G200" s="41" t="s">
        <v>53</v>
      </c>
      <c r="H200" s="132" t="s">
        <v>164</v>
      </c>
      <c r="I200" s="41" t="s">
        <v>288</v>
      </c>
      <c r="J200" s="132">
        <v>3.610453712E9</v>
      </c>
      <c r="K200" s="18"/>
      <c r="L200" s="18"/>
    </row>
    <row r="201" hidden="1">
      <c r="A201" s="41">
        <v>201.0</v>
      </c>
      <c r="B201" s="41" t="s">
        <v>717</v>
      </c>
      <c r="C201" s="41" t="s">
        <v>151</v>
      </c>
      <c r="D201" s="39" t="str">
        <f t="shared" si="44"/>
        <v>23</v>
      </c>
      <c r="E201" s="42" t="str">
        <f t="shared" si="41"/>
        <v>01</v>
      </c>
      <c r="F201" s="41" t="s">
        <v>732</v>
      </c>
      <c r="G201" s="41" t="s">
        <v>53</v>
      </c>
      <c r="H201" s="132" t="s">
        <v>191</v>
      </c>
      <c r="I201" s="41" t="s">
        <v>190</v>
      </c>
      <c r="J201" s="132">
        <v>5.612437648E9</v>
      </c>
      <c r="K201" s="18"/>
      <c r="L201" s="18"/>
    </row>
    <row r="202" hidden="1">
      <c r="A202" s="41">
        <v>202.0</v>
      </c>
      <c r="B202" s="41" t="s">
        <v>717</v>
      </c>
      <c r="C202" s="41" t="s">
        <v>51</v>
      </c>
      <c r="D202" s="39" t="str">
        <f t="shared" si="44"/>
        <v>21</v>
      </c>
      <c r="E202" s="42" t="str">
        <f t="shared" si="41"/>
        <v>01</v>
      </c>
      <c r="F202" s="41" t="s">
        <v>733</v>
      </c>
      <c r="G202" s="41" t="s">
        <v>53</v>
      </c>
      <c r="H202" s="132">
        <v>59.2</v>
      </c>
      <c r="I202" s="41" t="s">
        <v>734</v>
      </c>
      <c r="J202" s="132">
        <v>5.094307639E9</v>
      </c>
      <c r="K202" s="18"/>
      <c r="L202" s="18"/>
    </row>
    <row r="203" hidden="1">
      <c r="A203" s="41">
        <v>203.0</v>
      </c>
      <c r="B203" s="41" t="s">
        <v>717</v>
      </c>
      <c r="C203" s="41" t="s">
        <v>51</v>
      </c>
      <c r="D203" s="39" t="str">
        <f t="shared" si="44"/>
        <v>15</v>
      </c>
      <c r="E203" s="42" t="str">
        <f t="shared" si="41"/>
        <v>23</v>
      </c>
      <c r="F203" s="41" t="s">
        <v>736</v>
      </c>
      <c r="G203" s="41" t="s">
        <v>53</v>
      </c>
      <c r="H203" s="132">
        <v>60.8</v>
      </c>
      <c r="I203" s="41">
        <v>54.4</v>
      </c>
      <c r="J203" s="132">
        <v>4.704372149E9</v>
      </c>
      <c r="K203" s="18"/>
      <c r="L203" s="18"/>
    </row>
    <row r="204" hidden="1">
      <c r="A204" s="41">
        <v>204.0</v>
      </c>
      <c r="B204" s="41" t="s">
        <v>717</v>
      </c>
      <c r="C204" s="41" t="s">
        <v>51</v>
      </c>
      <c r="D204" s="39" t="str">
        <f t="shared" si="44"/>
        <v>05</v>
      </c>
      <c r="E204" s="42" t="str">
        <f t="shared" si="41"/>
        <v>23</v>
      </c>
      <c r="F204" s="41" t="s">
        <v>737</v>
      </c>
      <c r="G204" s="41" t="s">
        <v>53</v>
      </c>
      <c r="H204" s="132" t="s">
        <v>723</v>
      </c>
      <c r="I204" s="41" t="s">
        <v>79</v>
      </c>
      <c r="J204" s="132">
        <v>4.367515943E9</v>
      </c>
      <c r="K204" s="18"/>
      <c r="L204" s="18"/>
    </row>
    <row r="205" hidden="1">
      <c r="A205" s="41">
        <v>205.0</v>
      </c>
      <c r="B205" s="41" t="s">
        <v>717</v>
      </c>
      <c r="C205" s="41" t="s">
        <v>51</v>
      </c>
      <c r="D205" s="39" t="str">
        <f t="shared" si="44"/>
        <v>09</v>
      </c>
      <c r="E205" s="42" t="str">
        <f t="shared" si="41"/>
        <v>30</v>
      </c>
      <c r="F205" s="41" t="s">
        <v>738</v>
      </c>
      <c r="G205" s="41" t="s">
        <v>24</v>
      </c>
      <c r="H205" s="132" t="s">
        <v>318</v>
      </c>
      <c r="I205" s="41" t="s">
        <v>69</v>
      </c>
      <c r="J205" s="132">
        <v>7.312795012E9</v>
      </c>
      <c r="K205" s="18"/>
      <c r="L205" s="18"/>
    </row>
    <row r="206" hidden="1">
      <c r="A206" s="41">
        <v>206.0</v>
      </c>
      <c r="B206" s="41" t="s">
        <v>717</v>
      </c>
      <c r="C206" s="41" t="s">
        <v>51</v>
      </c>
      <c r="D206" s="39" t="str">
        <f t="shared" si="44"/>
        <v>18</v>
      </c>
      <c r="E206" s="42" t="str">
        <f t="shared" si="41"/>
        <v>23</v>
      </c>
      <c r="F206" s="41" t="s">
        <v>740</v>
      </c>
      <c r="G206" s="41" t="s">
        <v>53</v>
      </c>
      <c r="H206" s="132" t="s">
        <v>723</v>
      </c>
      <c r="I206" s="41" t="s">
        <v>79</v>
      </c>
      <c r="J206" s="132">
        <v>4.805429011E9</v>
      </c>
      <c r="K206" s="18"/>
      <c r="L206" s="18"/>
    </row>
    <row r="207" hidden="1">
      <c r="A207" s="41">
        <v>207.0</v>
      </c>
      <c r="B207" s="41" t="s">
        <v>717</v>
      </c>
      <c r="C207" s="41" t="s">
        <v>51</v>
      </c>
      <c r="D207" s="39" t="str">
        <f t="shared" si="44"/>
        <v>20</v>
      </c>
      <c r="E207" s="42" t="str">
        <f t="shared" si="41"/>
        <v>07</v>
      </c>
      <c r="F207" s="41" t="s">
        <v>741</v>
      </c>
      <c r="G207" s="41" t="s">
        <v>24</v>
      </c>
      <c r="H207" s="132" t="s">
        <v>342</v>
      </c>
      <c r="I207" s="41" t="s">
        <v>86</v>
      </c>
      <c r="J207" s="132">
        <v>5.165598304E9</v>
      </c>
      <c r="K207" s="18"/>
      <c r="L207" s="18"/>
    </row>
    <row r="208" hidden="1">
      <c r="A208" s="41">
        <v>208.0</v>
      </c>
      <c r="B208" s="41" t="s">
        <v>742</v>
      </c>
      <c r="C208" s="331" t="s">
        <v>33</v>
      </c>
      <c r="D208" s="39" t="str">
        <f>mid(F208,2,2)</f>
        <v>08</v>
      </c>
      <c r="E208" s="42" t="str">
        <f t="shared" si="41"/>
        <v>31</v>
      </c>
      <c r="F208" s="331" t="s">
        <v>744</v>
      </c>
      <c r="G208" s="331" t="s">
        <v>53</v>
      </c>
      <c r="H208" s="39"/>
      <c r="I208" s="331">
        <v>54.0</v>
      </c>
      <c r="J208" s="332">
        <v>5.52821707E9</v>
      </c>
      <c r="K208" s="18"/>
      <c r="L208" s="18"/>
    </row>
    <row r="209" hidden="1">
      <c r="A209" s="41">
        <v>209.0</v>
      </c>
      <c r="B209" s="41" t="s">
        <v>742</v>
      </c>
      <c r="C209" s="331" t="s">
        <v>33</v>
      </c>
      <c r="D209" s="39" t="str">
        <f>mid(F209,2,3)</f>
        <v>12A</v>
      </c>
      <c r="E209" s="42" t="str">
        <f t="shared" si="41"/>
        <v>31</v>
      </c>
      <c r="F209" s="331" t="s">
        <v>745</v>
      </c>
      <c r="G209" s="331" t="s">
        <v>53</v>
      </c>
      <c r="H209" s="39"/>
      <c r="I209" s="331">
        <v>54.0</v>
      </c>
      <c r="J209" s="332">
        <v>5.52821707E9</v>
      </c>
      <c r="K209" s="18"/>
      <c r="L209" s="18"/>
    </row>
    <row r="210" hidden="1">
      <c r="A210" s="41">
        <v>210.0</v>
      </c>
      <c r="B210" s="41" t="s">
        <v>742</v>
      </c>
      <c r="C210" s="331" t="s">
        <v>33</v>
      </c>
      <c r="D210" s="39" t="str">
        <f>mid(F210,2,2)</f>
        <v>08</v>
      </c>
      <c r="E210" s="42" t="str">
        <f t="shared" si="41"/>
        <v>39</v>
      </c>
      <c r="F210" s="331" t="s">
        <v>354</v>
      </c>
      <c r="G210" s="331" t="s">
        <v>24</v>
      </c>
      <c r="H210" s="39"/>
      <c r="I210" s="331">
        <v>66.0</v>
      </c>
      <c r="J210" s="332">
        <v>7.54125813E9</v>
      </c>
      <c r="K210" s="18"/>
      <c r="L210" s="18"/>
    </row>
    <row r="211" hidden="1">
      <c r="A211" s="41">
        <v>211.0</v>
      </c>
      <c r="B211" s="41" t="s">
        <v>742</v>
      </c>
      <c r="C211" s="331" t="s">
        <v>22</v>
      </c>
      <c r="D211" s="39" t="str">
        <f t="shared" ref="D211:D215" si="45">mid(F211,3,2)</f>
        <v>09</v>
      </c>
      <c r="E211" s="42" t="str">
        <f t="shared" si="41"/>
        <v>25</v>
      </c>
      <c r="F211" s="331" t="s">
        <v>747</v>
      </c>
      <c r="G211" s="331" t="s">
        <v>53</v>
      </c>
      <c r="H211" s="39"/>
      <c r="I211" s="331">
        <v>58.0</v>
      </c>
      <c r="J211" s="332">
        <v>5.21368772E9</v>
      </c>
      <c r="K211" s="18"/>
      <c r="L211" s="18"/>
    </row>
    <row r="212" hidden="1">
      <c r="A212" s="41">
        <v>212.0</v>
      </c>
      <c r="B212" s="41" t="s">
        <v>742</v>
      </c>
      <c r="C212" s="331" t="s">
        <v>22</v>
      </c>
      <c r="D212" s="39" t="str">
        <f t="shared" si="45"/>
        <v>07</v>
      </c>
      <c r="E212" s="42" t="str">
        <f>RIGHT(F212,3)</f>
        <v>03A</v>
      </c>
      <c r="F212" s="331" t="s">
        <v>749</v>
      </c>
      <c r="G212" s="331" t="s">
        <v>53</v>
      </c>
      <c r="H212" s="39"/>
      <c r="I212" s="331">
        <v>52.5</v>
      </c>
      <c r="J212" s="332">
        <v>4.25665227E9</v>
      </c>
      <c r="K212" s="18"/>
      <c r="L212" s="18"/>
    </row>
    <row r="213">
      <c r="A213" s="41">
        <v>213.0</v>
      </c>
      <c r="B213" s="41" t="s">
        <v>742</v>
      </c>
      <c r="C213" s="331" t="s">
        <v>151</v>
      </c>
      <c r="D213" s="39" t="str">
        <f t="shared" si="45"/>
        <v>12</v>
      </c>
      <c r="E213" s="42" t="str">
        <f t="shared" ref="E213:E218" si="46">RIGHT(F213,2)</f>
        <v>30</v>
      </c>
      <c r="F213" s="331" t="s">
        <v>751</v>
      </c>
      <c r="G213" s="331" t="s">
        <v>53</v>
      </c>
      <c r="H213" s="39"/>
      <c r="I213" s="331">
        <v>54.0</v>
      </c>
      <c r="J213" s="332">
        <v>3.754128038E9</v>
      </c>
      <c r="K213" s="18"/>
      <c r="L213" s="18"/>
    </row>
    <row r="214" hidden="1">
      <c r="A214" s="41">
        <v>214.0</v>
      </c>
      <c r="B214" s="41" t="s">
        <v>742</v>
      </c>
      <c r="C214" s="331" t="s">
        <v>151</v>
      </c>
      <c r="D214" s="39" t="str">
        <f t="shared" si="45"/>
        <v>06</v>
      </c>
      <c r="E214" s="42" t="str">
        <f t="shared" si="46"/>
        <v>26</v>
      </c>
      <c r="F214" s="331" t="s">
        <v>752</v>
      </c>
      <c r="G214" s="331" t="s">
        <v>53</v>
      </c>
      <c r="H214" s="39"/>
      <c r="I214" s="331">
        <v>58.2</v>
      </c>
      <c r="J214" s="332">
        <v>3.69623687E9</v>
      </c>
      <c r="K214" s="18"/>
      <c r="L214" s="18"/>
    </row>
    <row r="215" hidden="1">
      <c r="A215" s="41">
        <v>215.0</v>
      </c>
      <c r="B215" s="41" t="s">
        <v>742</v>
      </c>
      <c r="C215" s="331" t="s">
        <v>151</v>
      </c>
      <c r="D215" s="39" t="str">
        <f t="shared" si="45"/>
        <v>06</v>
      </c>
      <c r="E215" s="42" t="str">
        <f t="shared" si="46"/>
        <v>33</v>
      </c>
      <c r="F215" s="331" t="s">
        <v>755</v>
      </c>
      <c r="G215" s="331" t="s">
        <v>53</v>
      </c>
      <c r="H215" s="39"/>
      <c r="I215" s="331">
        <v>54.5</v>
      </c>
      <c r="J215" s="332">
        <v>3.52793536E9</v>
      </c>
      <c r="K215" s="18"/>
      <c r="L215" s="18"/>
    </row>
    <row r="216" hidden="1">
      <c r="A216" s="41">
        <v>216.0</v>
      </c>
      <c r="B216" s="41" t="s">
        <v>756</v>
      </c>
      <c r="C216" s="331" t="s">
        <v>33</v>
      </c>
      <c r="D216" s="39" t="str">
        <f>mid(F216,2,2)</f>
        <v>05</v>
      </c>
      <c r="E216" s="42" t="str">
        <f t="shared" si="46"/>
        <v>30</v>
      </c>
      <c r="F216" s="331" t="s">
        <v>757</v>
      </c>
      <c r="G216" s="331" t="s">
        <v>422</v>
      </c>
      <c r="H216" s="39"/>
      <c r="I216" s="331">
        <v>106.89</v>
      </c>
      <c r="J216" s="331" t="s">
        <v>758</v>
      </c>
      <c r="K216" s="18"/>
      <c r="L216" s="18"/>
    </row>
    <row r="217" hidden="1">
      <c r="A217" s="41">
        <v>217.0</v>
      </c>
      <c r="B217" s="41" t="s">
        <v>756</v>
      </c>
      <c r="C217" s="331" t="s">
        <v>151</v>
      </c>
      <c r="D217" s="39" t="str">
        <f t="shared" ref="D217:D246" si="47">mid(F217,3,2)</f>
        <v>17</v>
      </c>
      <c r="E217" s="42" t="str">
        <f t="shared" si="46"/>
        <v>03</v>
      </c>
      <c r="F217" s="331" t="s">
        <v>759</v>
      </c>
      <c r="G217" s="331" t="s">
        <v>53</v>
      </c>
      <c r="H217" s="39"/>
      <c r="I217" s="331">
        <v>54.2</v>
      </c>
      <c r="J217" s="332">
        <v>4.968263321E9</v>
      </c>
      <c r="K217" s="18"/>
      <c r="L217" s="18"/>
    </row>
    <row r="218" hidden="1">
      <c r="A218" s="41">
        <v>218.0</v>
      </c>
      <c r="B218" s="41" t="s">
        <v>756</v>
      </c>
      <c r="C218" s="331" t="s">
        <v>151</v>
      </c>
      <c r="D218" s="39" t="str">
        <f t="shared" si="47"/>
        <v>21</v>
      </c>
      <c r="E218" s="42" t="str">
        <f t="shared" si="46"/>
        <v>11</v>
      </c>
      <c r="F218" s="331" t="s">
        <v>761</v>
      </c>
      <c r="G218" s="331" t="s">
        <v>53</v>
      </c>
      <c r="H218" s="39"/>
      <c r="I218" s="331">
        <v>50.9</v>
      </c>
      <c r="J218" s="332">
        <v>3.500253751E9</v>
      </c>
      <c r="K218" s="18"/>
      <c r="L218" s="18"/>
    </row>
    <row r="219" hidden="1">
      <c r="A219" s="41">
        <v>219.0</v>
      </c>
      <c r="B219" s="41" t="s">
        <v>756</v>
      </c>
      <c r="C219" s="331" t="s">
        <v>151</v>
      </c>
      <c r="D219" s="39" t="str">
        <f t="shared" si="47"/>
        <v>19</v>
      </c>
      <c r="E219" s="42" t="str">
        <f>RIGHT(F219,3)</f>
        <v>03A</v>
      </c>
      <c r="F219" s="331" t="s">
        <v>764</v>
      </c>
      <c r="G219" s="331" t="s">
        <v>53</v>
      </c>
      <c r="H219" s="39"/>
      <c r="I219" s="331">
        <v>54.3</v>
      </c>
      <c r="J219" s="331" t="s">
        <v>766</v>
      </c>
      <c r="K219" s="18"/>
      <c r="L219" s="18"/>
    </row>
    <row r="220" hidden="1">
      <c r="A220" s="41">
        <v>220.0</v>
      </c>
      <c r="B220" s="41" t="s">
        <v>756</v>
      </c>
      <c r="C220" s="331" t="s">
        <v>151</v>
      </c>
      <c r="D220" s="39" t="str">
        <f t="shared" si="47"/>
        <v>18</v>
      </c>
      <c r="E220" s="42" t="str">
        <f t="shared" ref="E220:E241" si="48">RIGHT(F220,2)</f>
        <v>08</v>
      </c>
      <c r="F220" s="331" t="s">
        <v>767</v>
      </c>
      <c r="G220" s="331" t="s">
        <v>89</v>
      </c>
      <c r="H220" s="39"/>
      <c r="I220" s="331">
        <v>31.1</v>
      </c>
      <c r="J220" s="331" t="s">
        <v>768</v>
      </c>
      <c r="K220" s="18"/>
      <c r="L220" s="18"/>
    </row>
    <row r="221" hidden="1">
      <c r="A221" s="41">
        <v>221.0</v>
      </c>
      <c r="B221" s="41" t="s">
        <v>756</v>
      </c>
      <c r="C221" s="331" t="s">
        <v>151</v>
      </c>
      <c r="D221" s="39" t="str">
        <f t="shared" si="47"/>
        <v>22</v>
      </c>
      <c r="E221" s="42" t="str">
        <f t="shared" si="48"/>
        <v>22</v>
      </c>
      <c r="F221" s="331" t="s">
        <v>770</v>
      </c>
      <c r="G221" s="331" t="s">
        <v>53</v>
      </c>
      <c r="H221" s="39"/>
      <c r="I221" s="331">
        <v>53.9</v>
      </c>
      <c r="J221" s="332">
        <v>4.238114032E9</v>
      </c>
      <c r="K221" s="18"/>
      <c r="L221" s="18"/>
    </row>
    <row r="222" hidden="1">
      <c r="A222" s="41">
        <v>222.0</v>
      </c>
      <c r="B222" s="41" t="s">
        <v>756</v>
      </c>
      <c r="C222" s="331" t="s">
        <v>51</v>
      </c>
      <c r="D222" s="39" t="str">
        <f t="shared" si="47"/>
        <v>21</v>
      </c>
      <c r="E222" s="42" t="str">
        <f t="shared" si="48"/>
        <v>06</v>
      </c>
      <c r="F222" s="331" t="s">
        <v>772</v>
      </c>
      <c r="G222" s="331" t="s">
        <v>24</v>
      </c>
      <c r="H222" s="39"/>
      <c r="I222" s="331" t="s">
        <v>343</v>
      </c>
      <c r="J222" s="331" t="s">
        <v>773</v>
      </c>
      <c r="K222" s="18"/>
      <c r="L222" s="18"/>
    </row>
    <row r="223" hidden="1">
      <c r="A223" s="41">
        <v>223.0</v>
      </c>
      <c r="B223" s="41" t="s">
        <v>756</v>
      </c>
      <c r="C223" s="331" t="s">
        <v>51</v>
      </c>
      <c r="D223" s="39" t="str">
        <f t="shared" si="47"/>
        <v>21</v>
      </c>
      <c r="E223" s="42" t="str">
        <f t="shared" si="48"/>
        <v>12</v>
      </c>
      <c r="F223" s="331" t="s">
        <v>776</v>
      </c>
      <c r="G223" s="331" t="s">
        <v>53</v>
      </c>
      <c r="H223" s="39"/>
      <c r="I223" s="331" t="s">
        <v>76</v>
      </c>
      <c r="J223" s="331" t="s">
        <v>777</v>
      </c>
      <c r="K223" s="18"/>
      <c r="L223" s="18"/>
    </row>
    <row r="224" hidden="1">
      <c r="A224" s="41">
        <v>224.0</v>
      </c>
      <c r="B224" s="41" t="s">
        <v>756</v>
      </c>
      <c r="C224" s="331" t="s">
        <v>51</v>
      </c>
      <c r="D224" s="39" t="str">
        <f t="shared" si="47"/>
        <v>21</v>
      </c>
      <c r="E224" s="42" t="str">
        <f t="shared" si="48"/>
        <v>22</v>
      </c>
      <c r="F224" s="331" t="s">
        <v>778</v>
      </c>
      <c r="G224" s="331" t="s">
        <v>53</v>
      </c>
      <c r="H224" s="39"/>
      <c r="I224" s="331" t="s">
        <v>681</v>
      </c>
      <c r="J224" s="331" t="s">
        <v>779</v>
      </c>
      <c r="K224" s="18"/>
      <c r="L224" s="18"/>
    </row>
    <row r="225" hidden="1">
      <c r="A225" s="41">
        <v>225.0</v>
      </c>
      <c r="B225" s="41" t="s">
        <v>756</v>
      </c>
      <c r="C225" s="331" t="s">
        <v>51</v>
      </c>
      <c r="D225" s="39" t="str">
        <f t="shared" si="47"/>
        <v>16</v>
      </c>
      <c r="E225" s="42" t="str">
        <f t="shared" si="48"/>
        <v>01</v>
      </c>
      <c r="F225" s="331" t="s">
        <v>780</v>
      </c>
      <c r="G225" s="331" t="s">
        <v>53</v>
      </c>
      <c r="H225" s="39"/>
      <c r="I225" s="331" t="s">
        <v>76</v>
      </c>
      <c r="J225" s="332">
        <v>4.919395929E9</v>
      </c>
      <c r="K225" s="18"/>
      <c r="L225" s="18"/>
    </row>
    <row r="226" hidden="1">
      <c r="A226" s="41">
        <v>226.0</v>
      </c>
      <c r="B226" s="41" t="s">
        <v>756</v>
      </c>
      <c r="C226" s="331" t="s">
        <v>51</v>
      </c>
      <c r="D226" s="39" t="str">
        <f t="shared" si="47"/>
        <v>08</v>
      </c>
      <c r="E226" s="42" t="str">
        <f t="shared" si="48"/>
        <v>29</v>
      </c>
      <c r="F226" s="331" t="s">
        <v>781</v>
      </c>
      <c r="G226" s="331" t="s">
        <v>53</v>
      </c>
      <c r="H226" s="39"/>
      <c r="I226" s="331">
        <v>55.0</v>
      </c>
      <c r="J226" s="331" t="s">
        <v>659</v>
      </c>
      <c r="K226" s="18"/>
      <c r="L226" s="18"/>
    </row>
    <row r="227" hidden="1">
      <c r="A227" s="41">
        <v>227.0</v>
      </c>
      <c r="B227" s="41" t="s">
        <v>756</v>
      </c>
      <c r="C227" s="331" t="s">
        <v>51</v>
      </c>
      <c r="D227" s="39" t="str">
        <f t="shared" si="47"/>
        <v>16</v>
      </c>
      <c r="E227" s="42" t="str">
        <f t="shared" si="48"/>
        <v>24</v>
      </c>
      <c r="F227" s="331" t="s">
        <v>784</v>
      </c>
      <c r="G227" s="331" t="s">
        <v>24</v>
      </c>
      <c r="H227" s="39"/>
      <c r="I227" s="331" t="s">
        <v>133</v>
      </c>
      <c r="J227" s="332">
        <v>6.266703048E9</v>
      </c>
      <c r="K227" s="18"/>
      <c r="L227" s="18"/>
    </row>
    <row r="228" hidden="1">
      <c r="A228" s="41">
        <v>228.0</v>
      </c>
      <c r="B228" s="41" t="s">
        <v>785</v>
      </c>
      <c r="C228" s="331" t="s">
        <v>51</v>
      </c>
      <c r="D228" s="39" t="str">
        <f t="shared" si="47"/>
        <v>12</v>
      </c>
      <c r="E228" s="42" t="str">
        <f t="shared" si="48"/>
        <v>29</v>
      </c>
      <c r="F228" s="295" t="s">
        <v>787</v>
      </c>
      <c r="G228" s="295" t="s">
        <v>53</v>
      </c>
      <c r="H228" s="295">
        <v>61.0</v>
      </c>
      <c r="I228" s="295">
        <v>55.0</v>
      </c>
      <c r="J228" s="387">
        <v>4.369245503E9</v>
      </c>
      <c r="K228" s="18"/>
      <c r="L228" s="18"/>
    </row>
    <row r="229" hidden="1">
      <c r="A229" s="41">
        <v>229.0</v>
      </c>
      <c r="B229" s="41" t="s">
        <v>785</v>
      </c>
      <c r="C229" s="331" t="s">
        <v>51</v>
      </c>
      <c r="D229" s="39" t="str">
        <f t="shared" si="47"/>
        <v>06</v>
      </c>
      <c r="E229" s="42" t="str">
        <f t="shared" si="48"/>
        <v>21</v>
      </c>
      <c r="F229" s="295" t="s">
        <v>789</v>
      </c>
      <c r="G229" s="295" t="s">
        <v>53</v>
      </c>
      <c r="H229" s="295">
        <v>59.1</v>
      </c>
      <c r="I229" s="295">
        <v>53.7</v>
      </c>
      <c r="J229" s="387">
        <v>4.344568457E9</v>
      </c>
      <c r="K229" s="18"/>
      <c r="L229" s="18"/>
    </row>
    <row r="230" hidden="1">
      <c r="A230" s="41">
        <v>230.0</v>
      </c>
      <c r="B230" s="41" t="s">
        <v>785</v>
      </c>
      <c r="C230" s="331" t="s">
        <v>51</v>
      </c>
      <c r="D230" s="39" t="str">
        <f t="shared" si="47"/>
        <v>06</v>
      </c>
      <c r="E230" s="42" t="str">
        <f t="shared" si="48"/>
        <v>28</v>
      </c>
      <c r="F230" s="295" t="s">
        <v>791</v>
      </c>
      <c r="G230" s="295" t="s">
        <v>24</v>
      </c>
      <c r="H230" s="295">
        <v>88.6</v>
      </c>
      <c r="I230" s="295">
        <v>80.7</v>
      </c>
      <c r="J230" s="387">
        <v>5.448906839E9</v>
      </c>
      <c r="K230" s="18"/>
      <c r="L230" s="18"/>
    </row>
    <row r="231" hidden="1">
      <c r="A231" s="41">
        <v>231.0</v>
      </c>
      <c r="B231" s="41" t="s">
        <v>785</v>
      </c>
      <c r="C231" s="331" t="s">
        <v>51</v>
      </c>
      <c r="D231" s="39" t="str">
        <f t="shared" si="47"/>
        <v>21</v>
      </c>
      <c r="E231" s="42" t="str">
        <f t="shared" si="48"/>
        <v>30</v>
      </c>
      <c r="F231" s="295" t="s">
        <v>793</v>
      </c>
      <c r="G231" s="295" t="s">
        <v>24</v>
      </c>
      <c r="H231" s="295">
        <v>85.3</v>
      </c>
      <c r="I231" s="295">
        <v>76.0</v>
      </c>
      <c r="J231" s="387">
        <v>7.969814022E9</v>
      </c>
      <c r="K231" s="18"/>
      <c r="L231" s="18"/>
    </row>
    <row r="232" hidden="1">
      <c r="A232" s="41">
        <v>233.0</v>
      </c>
      <c r="B232" s="41" t="s">
        <v>785</v>
      </c>
      <c r="C232" s="331" t="s">
        <v>51</v>
      </c>
      <c r="D232" s="39" t="str">
        <f t="shared" si="47"/>
        <v>23</v>
      </c>
      <c r="E232" s="42" t="str">
        <f t="shared" si="48"/>
        <v>03</v>
      </c>
      <c r="F232" s="295" t="s">
        <v>799</v>
      </c>
      <c r="G232" s="295" t="s">
        <v>53</v>
      </c>
      <c r="H232" s="295" t="s">
        <v>339</v>
      </c>
      <c r="I232" s="295" t="s">
        <v>76</v>
      </c>
      <c r="J232" s="295" t="s">
        <v>800</v>
      </c>
      <c r="K232" s="18"/>
      <c r="L232" s="18"/>
    </row>
    <row r="233" hidden="1">
      <c r="A233" s="41">
        <v>234.0</v>
      </c>
      <c r="B233" s="41" t="s">
        <v>785</v>
      </c>
      <c r="C233" s="331" t="s">
        <v>51</v>
      </c>
      <c r="D233" s="39" t="str">
        <f t="shared" si="47"/>
        <v>23</v>
      </c>
      <c r="E233" s="42" t="str">
        <f t="shared" si="48"/>
        <v>09</v>
      </c>
      <c r="F233" s="295" t="s">
        <v>801</v>
      </c>
      <c r="G233" s="295" t="s">
        <v>89</v>
      </c>
      <c r="H233" s="295">
        <v>35.0</v>
      </c>
      <c r="I233" s="392">
        <v>46233.0</v>
      </c>
      <c r="J233" s="295" t="s">
        <v>803</v>
      </c>
      <c r="K233" s="18"/>
      <c r="L233" s="18"/>
    </row>
    <row r="234" hidden="1">
      <c r="A234" s="41">
        <v>235.0</v>
      </c>
      <c r="B234" s="41" t="s">
        <v>785</v>
      </c>
      <c r="C234" s="331" t="s">
        <v>51</v>
      </c>
      <c r="D234" s="39" t="str">
        <f t="shared" si="47"/>
        <v>23</v>
      </c>
      <c r="E234" s="42" t="str">
        <f t="shared" si="48"/>
        <v>17</v>
      </c>
      <c r="F234" s="295" t="s">
        <v>805</v>
      </c>
      <c r="G234" s="295" t="s">
        <v>24</v>
      </c>
      <c r="H234" s="295" t="s">
        <v>327</v>
      </c>
      <c r="I234" s="295" t="s">
        <v>328</v>
      </c>
      <c r="J234" s="295" t="s">
        <v>806</v>
      </c>
      <c r="K234" s="18"/>
      <c r="L234" s="18"/>
    </row>
    <row r="235" hidden="1">
      <c r="A235" s="41">
        <v>236.0</v>
      </c>
      <c r="B235" s="41" t="s">
        <v>785</v>
      </c>
      <c r="C235" s="331" t="s">
        <v>151</v>
      </c>
      <c r="D235" s="39" t="str">
        <f t="shared" si="47"/>
        <v>05</v>
      </c>
      <c r="E235" s="42" t="str">
        <f t="shared" si="48"/>
        <v>3A</v>
      </c>
      <c r="F235" s="331" t="s">
        <v>807</v>
      </c>
      <c r="G235" s="331" t="s">
        <v>53</v>
      </c>
      <c r="H235" s="331" t="s">
        <v>161</v>
      </c>
      <c r="I235" s="331" t="s">
        <v>197</v>
      </c>
      <c r="J235" s="332">
        <v>4.510330976E9</v>
      </c>
      <c r="K235" s="18"/>
      <c r="L235" s="18"/>
    </row>
    <row r="236" hidden="1">
      <c r="A236" s="41">
        <v>237.0</v>
      </c>
      <c r="B236" s="41" t="s">
        <v>785</v>
      </c>
      <c r="C236" s="331" t="s">
        <v>151</v>
      </c>
      <c r="D236" s="39" t="str">
        <f t="shared" si="47"/>
        <v>05</v>
      </c>
      <c r="E236" s="42" t="str">
        <f t="shared" si="48"/>
        <v>33</v>
      </c>
      <c r="F236" s="331" t="s">
        <v>808</v>
      </c>
      <c r="G236" s="331" t="s">
        <v>53</v>
      </c>
      <c r="H236" s="331" t="s">
        <v>360</v>
      </c>
      <c r="I236" s="331" t="s">
        <v>145</v>
      </c>
      <c r="J236" s="332">
        <v>3.500965343E9</v>
      </c>
      <c r="K236" s="18"/>
      <c r="L236" s="18"/>
    </row>
    <row r="237" hidden="1">
      <c r="A237" s="41">
        <v>238.0</v>
      </c>
      <c r="B237" s="41" t="s">
        <v>785</v>
      </c>
      <c r="C237" s="331" t="s">
        <v>151</v>
      </c>
      <c r="D237" s="39" t="str">
        <f t="shared" si="47"/>
        <v>07</v>
      </c>
      <c r="E237" s="42" t="str">
        <f t="shared" si="48"/>
        <v>02</v>
      </c>
      <c r="F237" s="331" t="s">
        <v>811</v>
      </c>
      <c r="G237" s="331" t="s">
        <v>53</v>
      </c>
      <c r="H237" s="331" t="s">
        <v>191</v>
      </c>
      <c r="I237" s="331" t="s">
        <v>209</v>
      </c>
      <c r="J237" s="332">
        <v>4.949695677E9</v>
      </c>
      <c r="K237" s="18"/>
      <c r="L237" s="18"/>
    </row>
    <row r="238" hidden="1">
      <c r="A238" s="41">
        <v>239.0</v>
      </c>
      <c r="B238" s="41" t="s">
        <v>785</v>
      </c>
      <c r="C238" s="331" t="s">
        <v>151</v>
      </c>
      <c r="D238" s="39" t="str">
        <f t="shared" si="47"/>
        <v>07</v>
      </c>
      <c r="E238" s="42" t="str">
        <f t="shared" si="48"/>
        <v>09</v>
      </c>
      <c r="F238" s="331" t="s">
        <v>812</v>
      </c>
      <c r="G238" s="331" t="s">
        <v>24</v>
      </c>
      <c r="H238" s="331" t="s">
        <v>316</v>
      </c>
      <c r="I238" s="331" t="s">
        <v>202</v>
      </c>
      <c r="J238" s="332">
        <v>6.52674483E9</v>
      </c>
      <c r="K238" s="18"/>
      <c r="L238" s="18"/>
    </row>
    <row r="239" hidden="1">
      <c r="A239" s="41">
        <v>240.0</v>
      </c>
      <c r="B239" s="41" t="s">
        <v>785</v>
      </c>
      <c r="C239" s="331" t="s">
        <v>151</v>
      </c>
      <c r="D239" s="39" t="str">
        <f t="shared" si="47"/>
        <v>07</v>
      </c>
      <c r="E239" s="42" t="str">
        <f t="shared" si="48"/>
        <v>03</v>
      </c>
      <c r="F239" s="331" t="s">
        <v>814</v>
      </c>
      <c r="G239" s="331" t="s">
        <v>53</v>
      </c>
      <c r="H239" s="331" t="s">
        <v>161</v>
      </c>
      <c r="I239" s="331" t="s">
        <v>181</v>
      </c>
      <c r="J239" s="332">
        <v>4.61744416E9</v>
      </c>
      <c r="K239" s="18"/>
      <c r="L239" s="18"/>
    </row>
    <row r="240" hidden="1">
      <c r="A240" s="41">
        <v>241.0</v>
      </c>
      <c r="B240" s="41" t="s">
        <v>785</v>
      </c>
      <c r="C240" s="331" t="s">
        <v>151</v>
      </c>
      <c r="D240" s="39" t="str">
        <f t="shared" si="47"/>
        <v>07</v>
      </c>
      <c r="E240" s="42" t="str">
        <f t="shared" si="48"/>
        <v>34</v>
      </c>
      <c r="F240" s="331" t="s">
        <v>815</v>
      </c>
      <c r="G240" s="331" t="s">
        <v>24</v>
      </c>
      <c r="H240" s="331" t="s">
        <v>316</v>
      </c>
      <c r="I240" s="331" t="s">
        <v>202</v>
      </c>
      <c r="J240" s="332">
        <v>6.52674483E9</v>
      </c>
      <c r="K240" s="18"/>
      <c r="L240" s="18"/>
    </row>
    <row r="241" hidden="1">
      <c r="A241" s="41">
        <v>242.0</v>
      </c>
      <c r="B241" s="41" t="s">
        <v>785</v>
      </c>
      <c r="C241" s="331" t="s">
        <v>151</v>
      </c>
      <c r="D241" s="39" t="str">
        <f t="shared" si="47"/>
        <v>10</v>
      </c>
      <c r="E241" s="42" t="str">
        <f t="shared" si="48"/>
        <v>06</v>
      </c>
      <c r="F241" s="331" t="s">
        <v>817</v>
      </c>
      <c r="G241" s="331" t="s">
        <v>53</v>
      </c>
      <c r="H241" s="331" t="s">
        <v>161</v>
      </c>
      <c r="I241" s="331" t="s">
        <v>157</v>
      </c>
      <c r="J241" s="332">
        <v>4.705263009E9</v>
      </c>
      <c r="K241" s="18"/>
      <c r="L241" s="18"/>
    </row>
    <row r="242" hidden="1">
      <c r="A242" s="41">
        <v>243.0</v>
      </c>
      <c r="B242" s="41" t="s">
        <v>785</v>
      </c>
      <c r="C242" s="331" t="s">
        <v>151</v>
      </c>
      <c r="D242" s="39" t="str">
        <f t="shared" si="47"/>
        <v>10</v>
      </c>
      <c r="E242" s="42" t="str">
        <f>RIGHT(F242,3)</f>
        <v>12A</v>
      </c>
      <c r="F242" s="331" t="s">
        <v>818</v>
      </c>
      <c r="G242" s="331" t="s">
        <v>53</v>
      </c>
      <c r="H242" s="331" t="s">
        <v>161</v>
      </c>
      <c r="I242" s="331" t="s">
        <v>76</v>
      </c>
      <c r="J242" s="332">
        <v>3.554733153E9</v>
      </c>
      <c r="K242" s="18"/>
      <c r="L242" s="18"/>
    </row>
    <row r="243">
      <c r="A243" s="41">
        <v>244.0</v>
      </c>
      <c r="B243" s="41" t="s">
        <v>785</v>
      </c>
      <c r="C243" s="331" t="s">
        <v>151</v>
      </c>
      <c r="D243" s="39" t="str">
        <f t="shared" si="47"/>
        <v>15</v>
      </c>
      <c r="E243" s="42" t="str">
        <f t="shared" ref="E243:E272" si="49">RIGHT(F243,2)</f>
        <v>07</v>
      </c>
      <c r="F243" s="331" t="s">
        <v>820</v>
      </c>
      <c r="G243" s="331" t="s">
        <v>89</v>
      </c>
      <c r="H243" s="331" t="s">
        <v>369</v>
      </c>
      <c r="I243" s="331" t="s">
        <v>155</v>
      </c>
      <c r="J243" s="332">
        <v>3.123669554E9</v>
      </c>
      <c r="K243" s="18"/>
      <c r="L243" s="18"/>
    </row>
    <row r="244" hidden="1">
      <c r="A244" s="41">
        <v>245.0</v>
      </c>
      <c r="B244" s="41" t="s">
        <v>785</v>
      </c>
      <c r="C244" s="331" t="s">
        <v>151</v>
      </c>
      <c r="D244" s="39" t="str">
        <f t="shared" si="47"/>
        <v>17</v>
      </c>
      <c r="E244" s="42" t="str">
        <f t="shared" si="49"/>
        <v>33</v>
      </c>
      <c r="F244" s="331" t="s">
        <v>821</v>
      </c>
      <c r="G244" s="331" t="s">
        <v>53</v>
      </c>
      <c r="H244" s="331" t="s">
        <v>360</v>
      </c>
      <c r="I244" s="331" t="s">
        <v>145</v>
      </c>
      <c r="J244" s="332">
        <v>3.824605531E9</v>
      </c>
      <c r="K244" s="18"/>
      <c r="L244" s="18"/>
    </row>
    <row r="245" hidden="1">
      <c r="A245" s="41">
        <v>246.0</v>
      </c>
      <c r="B245" s="41" t="s">
        <v>785</v>
      </c>
      <c r="C245" s="331" t="s">
        <v>151</v>
      </c>
      <c r="D245" s="39" t="str">
        <f t="shared" si="47"/>
        <v>19</v>
      </c>
      <c r="E245" s="42" t="str">
        <f t="shared" si="49"/>
        <v>22</v>
      </c>
      <c r="F245" s="331" t="s">
        <v>822</v>
      </c>
      <c r="G245" s="331" t="s">
        <v>53</v>
      </c>
      <c r="H245" s="331" t="s">
        <v>161</v>
      </c>
      <c r="I245" s="331" t="s">
        <v>76</v>
      </c>
      <c r="J245" s="332">
        <v>4.151473187E9</v>
      </c>
      <c r="K245" s="18"/>
      <c r="L245" s="18"/>
    </row>
    <row r="246" hidden="1">
      <c r="A246" s="41">
        <v>247.0</v>
      </c>
      <c r="B246" s="41" t="s">
        <v>785</v>
      </c>
      <c r="C246" s="331" t="s">
        <v>151</v>
      </c>
      <c r="D246" s="39" t="str">
        <f t="shared" si="47"/>
        <v>03</v>
      </c>
      <c r="E246" s="42" t="str">
        <f t="shared" si="49"/>
        <v>08</v>
      </c>
      <c r="F246" s="331" t="s">
        <v>825</v>
      </c>
      <c r="G246" s="331" t="s">
        <v>89</v>
      </c>
      <c r="H246" s="331" t="s">
        <v>369</v>
      </c>
      <c r="I246" s="396">
        <v>46053.0</v>
      </c>
      <c r="J246" s="332">
        <v>2.845928403E9</v>
      </c>
      <c r="K246" s="18"/>
      <c r="L246" s="18"/>
    </row>
    <row r="247" hidden="1">
      <c r="A247" s="41">
        <v>248.0</v>
      </c>
      <c r="B247" s="41" t="s">
        <v>785</v>
      </c>
      <c r="C247" s="331" t="s">
        <v>151</v>
      </c>
      <c r="D247" s="39" t="str">
        <f t="shared" ref="D247:D248" si="50">mid(F247,3,3)</f>
        <v>03A</v>
      </c>
      <c r="E247" s="42" t="str">
        <f t="shared" si="49"/>
        <v>3A</v>
      </c>
      <c r="F247" s="331" t="s">
        <v>834</v>
      </c>
      <c r="G247" s="331" t="s">
        <v>53</v>
      </c>
      <c r="H247" s="331" t="s">
        <v>161</v>
      </c>
      <c r="I247" s="331" t="s">
        <v>222</v>
      </c>
      <c r="J247" s="332">
        <v>3.421726045E9</v>
      </c>
      <c r="K247" s="18"/>
      <c r="L247" s="18"/>
    </row>
    <row r="248" hidden="1">
      <c r="A248" s="41">
        <v>249.0</v>
      </c>
      <c r="B248" s="41" t="s">
        <v>785</v>
      </c>
      <c r="C248" s="331" t="s">
        <v>151</v>
      </c>
      <c r="D248" s="39" t="str">
        <f t="shared" si="50"/>
        <v>12A</v>
      </c>
      <c r="E248" s="42" t="str">
        <f t="shared" si="49"/>
        <v>20</v>
      </c>
      <c r="F248" s="331" t="s">
        <v>828</v>
      </c>
      <c r="G248" s="331" t="s">
        <v>53</v>
      </c>
      <c r="H248" s="331" t="s">
        <v>161</v>
      </c>
      <c r="I248" s="331" t="s">
        <v>129</v>
      </c>
      <c r="J248" s="332">
        <v>3.632685192E9</v>
      </c>
      <c r="K248" s="18"/>
      <c r="L248" s="18"/>
    </row>
    <row r="249" hidden="1">
      <c r="A249" s="41">
        <v>250.0</v>
      </c>
      <c r="B249" s="41" t="s">
        <v>785</v>
      </c>
      <c r="C249" s="331" t="s">
        <v>33</v>
      </c>
      <c r="D249" s="39" t="str">
        <f t="shared" ref="D249:D251" si="51">mid(F249,2,2)</f>
        <v>15</v>
      </c>
      <c r="E249" s="42" t="str">
        <f t="shared" si="49"/>
        <v>31</v>
      </c>
      <c r="F249" s="331" t="s">
        <v>829</v>
      </c>
      <c r="G249" s="331" t="s">
        <v>53</v>
      </c>
      <c r="H249" s="331" t="s">
        <v>161</v>
      </c>
      <c r="I249" s="331" t="s">
        <v>157</v>
      </c>
      <c r="J249" s="332">
        <v>5.820232891E9</v>
      </c>
      <c r="K249" s="18"/>
      <c r="L249" s="18"/>
    </row>
    <row r="250" hidden="1">
      <c r="A250" s="41">
        <v>251.0</v>
      </c>
      <c r="B250" s="41" t="s">
        <v>830</v>
      </c>
      <c r="C250" s="41" t="s">
        <v>33</v>
      </c>
      <c r="D250" s="39" t="str">
        <f t="shared" si="51"/>
        <v>16</v>
      </c>
      <c r="E250" s="42" t="str">
        <f t="shared" si="49"/>
        <v>05</v>
      </c>
      <c r="F250" s="295" t="s">
        <v>587</v>
      </c>
      <c r="G250" s="295" t="s">
        <v>53</v>
      </c>
      <c r="H250" s="295">
        <v>59.1</v>
      </c>
      <c r="I250" s="295">
        <v>54.6</v>
      </c>
      <c r="J250" s="387">
        <v>4.623334808E9</v>
      </c>
      <c r="K250" s="18"/>
      <c r="L250" s="18"/>
    </row>
    <row r="251" hidden="1">
      <c r="A251" s="41">
        <v>252.0</v>
      </c>
      <c r="B251" s="41" t="s">
        <v>830</v>
      </c>
      <c r="C251" s="41" t="s">
        <v>33</v>
      </c>
      <c r="D251" s="39" t="str">
        <f t="shared" si="51"/>
        <v>21</v>
      </c>
      <c r="E251" s="42" t="str">
        <f t="shared" si="49"/>
        <v>02</v>
      </c>
      <c r="F251" s="295" t="s">
        <v>831</v>
      </c>
      <c r="G251" s="295" t="s">
        <v>53</v>
      </c>
      <c r="H251" s="295">
        <v>58.5</v>
      </c>
      <c r="I251" s="295">
        <v>52.8</v>
      </c>
      <c r="J251" s="387">
        <v>4.583750502E9</v>
      </c>
      <c r="K251" s="18"/>
      <c r="L251" s="18"/>
    </row>
    <row r="252" hidden="1">
      <c r="A252" s="41">
        <v>253.0</v>
      </c>
      <c r="B252" s="41" t="s">
        <v>830</v>
      </c>
      <c r="C252" s="41" t="s">
        <v>51</v>
      </c>
      <c r="D252" s="39" t="str">
        <f t="shared" ref="D252:D259" si="52">mid(F252,3,2)</f>
        <v>21</v>
      </c>
      <c r="E252" s="42" t="str">
        <f t="shared" si="49"/>
        <v>03</v>
      </c>
      <c r="F252" s="295" t="s">
        <v>833</v>
      </c>
      <c r="G252" s="295" t="s">
        <v>24</v>
      </c>
      <c r="H252" s="295">
        <v>78.9</v>
      </c>
      <c r="I252" s="295">
        <v>73.8</v>
      </c>
      <c r="J252" s="387">
        <v>7.41878444E9</v>
      </c>
      <c r="K252" s="18"/>
      <c r="L252" s="18"/>
    </row>
    <row r="253" hidden="1">
      <c r="A253" s="41">
        <v>254.0</v>
      </c>
      <c r="B253" s="41" t="s">
        <v>830</v>
      </c>
      <c r="C253" s="41" t="s">
        <v>51</v>
      </c>
      <c r="D253" s="39" t="str">
        <f t="shared" si="52"/>
        <v>12</v>
      </c>
      <c r="E253" s="42" t="str">
        <f t="shared" si="49"/>
        <v>25</v>
      </c>
      <c r="F253" s="295" t="s">
        <v>835</v>
      </c>
      <c r="G253" s="295" t="s">
        <v>89</v>
      </c>
      <c r="H253" s="295">
        <v>34.5</v>
      </c>
      <c r="I253" s="295">
        <v>30.0</v>
      </c>
      <c r="J253" s="387">
        <v>2.640088934E9</v>
      </c>
      <c r="K253" s="18"/>
      <c r="L253" s="18"/>
    </row>
    <row r="254" hidden="1">
      <c r="A254" s="41">
        <v>255.0</v>
      </c>
      <c r="B254" s="41" t="s">
        <v>830</v>
      </c>
      <c r="C254" s="41" t="s">
        <v>51</v>
      </c>
      <c r="D254" s="39" t="str">
        <f t="shared" si="52"/>
        <v>12</v>
      </c>
      <c r="E254" s="42" t="str">
        <f t="shared" si="49"/>
        <v>30</v>
      </c>
      <c r="F254" s="295" t="s">
        <v>837</v>
      </c>
      <c r="G254" s="295" t="s">
        <v>24</v>
      </c>
      <c r="H254" s="295">
        <v>85.3</v>
      </c>
      <c r="I254" s="295">
        <v>76.0</v>
      </c>
      <c r="J254" s="387">
        <v>7.477049765E9</v>
      </c>
      <c r="K254" s="18"/>
      <c r="L254" s="18"/>
    </row>
    <row r="255" hidden="1">
      <c r="A255" s="41">
        <v>256.0</v>
      </c>
      <c r="B255" s="41" t="s">
        <v>830</v>
      </c>
      <c r="C255" s="41" t="s">
        <v>51</v>
      </c>
      <c r="D255" s="39" t="str">
        <f t="shared" si="52"/>
        <v>16</v>
      </c>
      <c r="E255" s="42" t="str">
        <f t="shared" si="49"/>
        <v>17</v>
      </c>
      <c r="F255" s="295" t="s">
        <v>839</v>
      </c>
      <c r="G255" s="295" t="s">
        <v>24</v>
      </c>
      <c r="H255" s="295">
        <v>80.1</v>
      </c>
      <c r="I255" s="295">
        <v>70.5</v>
      </c>
      <c r="J255" s="387">
        <v>6.096003934E9</v>
      </c>
      <c r="K255" s="18"/>
      <c r="L255" s="18"/>
    </row>
    <row r="256" hidden="1">
      <c r="A256" s="41">
        <v>257.0</v>
      </c>
      <c r="B256" s="41" t="s">
        <v>830</v>
      </c>
      <c r="C256" s="41" t="s">
        <v>51</v>
      </c>
      <c r="D256" s="39" t="str">
        <f t="shared" si="52"/>
        <v>17</v>
      </c>
      <c r="E256" s="42" t="str">
        <f t="shared" si="49"/>
        <v>27</v>
      </c>
      <c r="F256" s="295" t="s">
        <v>137</v>
      </c>
      <c r="G256" s="295" t="s">
        <v>53</v>
      </c>
      <c r="H256" s="295" t="s">
        <v>702</v>
      </c>
      <c r="I256" s="295" t="s">
        <v>120</v>
      </c>
      <c r="J256" s="387">
        <v>4.06766877E9</v>
      </c>
      <c r="K256" s="18"/>
      <c r="L256" s="18"/>
    </row>
    <row r="257" hidden="1">
      <c r="A257" s="41">
        <v>258.0</v>
      </c>
      <c r="B257" s="41" t="s">
        <v>842</v>
      </c>
      <c r="C257" s="331" t="s">
        <v>151</v>
      </c>
      <c r="D257" s="39" t="str">
        <f t="shared" si="52"/>
        <v>07</v>
      </c>
      <c r="E257" s="42" t="str">
        <f t="shared" si="49"/>
        <v>22</v>
      </c>
      <c r="F257" s="41" t="s">
        <v>843</v>
      </c>
      <c r="G257" s="41" t="s">
        <v>53</v>
      </c>
      <c r="H257" s="41" t="s">
        <v>161</v>
      </c>
      <c r="I257" s="41" t="s">
        <v>76</v>
      </c>
      <c r="J257" s="132">
        <v>3.804909811E9</v>
      </c>
      <c r="K257" s="18"/>
      <c r="L257" s="18"/>
    </row>
    <row r="258" hidden="1">
      <c r="A258" s="41">
        <v>259.0</v>
      </c>
      <c r="B258" s="41" t="s">
        <v>842</v>
      </c>
      <c r="C258" s="331" t="s">
        <v>151</v>
      </c>
      <c r="D258" s="39" t="str">
        <f t="shared" si="52"/>
        <v>18</v>
      </c>
      <c r="E258" s="42" t="str">
        <f t="shared" si="49"/>
        <v>31</v>
      </c>
      <c r="F258" s="41" t="s">
        <v>845</v>
      </c>
      <c r="G258" s="41" t="s">
        <v>24</v>
      </c>
      <c r="H258" s="41" t="s">
        <v>846</v>
      </c>
      <c r="I258" s="41" t="s">
        <v>216</v>
      </c>
      <c r="J258" s="132">
        <v>4.778709615E9</v>
      </c>
      <c r="K258" s="18"/>
      <c r="L258" s="18"/>
    </row>
    <row r="259" hidden="1">
      <c r="A259" s="41">
        <v>260.0</v>
      </c>
      <c r="B259" s="41" t="s">
        <v>842</v>
      </c>
      <c r="C259" s="331" t="s">
        <v>151</v>
      </c>
      <c r="D259" s="39" t="str">
        <f t="shared" si="52"/>
        <v>18</v>
      </c>
      <c r="E259" s="42" t="str">
        <f t="shared" si="49"/>
        <v>26</v>
      </c>
      <c r="F259" s="41" t="s">
        <v>848</v>
      </c>
      <c r="G259" s="41" t="s">
        <v>53</v>
      </c>
      <c r="H259" s="41" t="s">
        <v>191</v>
      </c>
      <c r="I259" s="41" t="s">
        <v>447</v>
      </c>
      <c r="J259" s="132">
        <v>4.035275756E9</v>
      </c>
      <c r="K259" s="18"/>
      <c r="L259" s="18"/>
    </row>
    <row r="260" hidden="1">
      <c r="A260" s="41">
        <v>261.0</v>
      </c>
      <c r="B260" s="41" t="s">
        <v>842</v>
      </c>
      <c r="C260" s="41" t="s">
        <v>33</v>
      </c>
      <c r="D260" s="39" t="str">
        <f t="shared" ref="D260:D268" si="53">mid(F260,2,2)</f>
        <v>06</v>
      </c>
      <c r="E260" s="42" t="str">
        <f t="shared" si="49"/>
        <v>09</v>
      </c>
      <c r="F260" s="331" t="s">
        <v>851</v>
      </c>
      <c r="G260" s="331" t="s">
        <v>53</v>
      </c>
      <c r="H260" s="331" t="s">
        <v>161</v>
      </c>
      <c r="I260" s="331" t="s">
        <v>157</v>
      </c>
      <c r="J260" s="332">
        <v>4.301572773E9</v>
      </c>
      <c r="K260" s="18"/>
      <c r="L260" s="18"/>
    </row>
    <row r="261" hidden="1">
      <c r="A261" s="41">
        <v>262.0</v>
      </c>
      <c r="B261" s="41" t="s">
        <v>842</v>
      </c>
      <c r="C261" s="41" t="s">
        <v>33</v>
      </c>
      <c r="D261" s="39" t="str">
        <f t="shared" si="53"/>
        <v>06</v>
      </c>
      <c r="E261" s="42" t="str">
        <f t="shared" si="49"/>
        <v>35</v>
      </c>
      <c r="F261" s="331" t="s">
        <v>852</v>
      </c>
      <c r="G261" s="331" t="s">
        <v>53</v>
      </c>
      <c r="H261" s="331" t="s">
        <v>158</v>
      </c>
      <c r="I261" s="331" t="s">
        <v>129</v>
      </c>
      <c r="J261" s="332">
        <v>5.48351015E9</v>
      </c>
      <c r="K261" s="18"/>
      <c r="L261" s="18"/>
    </row>
    <row r="262" hidden="1">
      <c r="A262" s="41">
        <v>263.0</v>
      </c>
      <c r="B262" s="41" t="s">
        <v>842</v>
      </c>
      <c r="C262" s="41" t="s">
        <v>33</v>
      </c>
      <c r="D262" s="39" t="str">
        <f t="shared" si="53"/>
        <v>06</v>
      </c>
      <c r="E262" s="42" t="str">
        <f t="shared" si="49"/>
        <v>41</v>
      </c>
      <c r="F262" s="331" t="s">
        <v>854</v>
      </c>
      <c r="G262" s="331" t="s">
        <v>53</v>
      </c>
      <c r="H262" s="331" t="s">
        <v>164</v>
      </c>
      <c r="I262" s="331" t="s">
        <v>288</v>
      </c>
      <c r="J262" s="332">
        <v>4.866075166E9</v>
      </c>
      <c r="K262" s="18"/>
      <c r="L262" s="18"/>
    </row>
    <row r="263" hidden="1">
      <c r="A263" s="41">
        <v>264.0</v>
      </c>
      <c r="B263" s="41" t="s">
        <v>842</v>
      </c>
      <c r="C263" s="41" t="s">
        <v>33</v>
      </c>
      <c r="D263" s="39" t="str">
        <f t="shared" si="53"/>
        <v>07</v>
      </c>
      <c r="E263" s="42" t="str">
        <f t="shared" si="49"/>
        <v>31</v>
      </c>
      <c r="F263" s="331" t="s">
        <v>856</v>
      </c>
      <c r="G263" s="331" t="s">
        <v>53</v>
      </c>
      <c r="H263" s="331" t="s">
        <v>161</v>
      </c>
      <c r="I263" s="331" t="s">
        <v>157</v>
      </c>
      <c r="J263" s="332">
        <v>5.556392251E9</v>
      </c>
      <c r="K263" s="18"/>
      <c r="L263" s="18"/>
    </row>
    <row r="264" hidden="1">
      <c r="A264" s="41">
        <v>265.0</v>
      </c>
      <c r="B264" s="41" t="s">
        <v>842</v>
      </c>
      <c r="C264" s="41" t="s">
        <v>33</v>
      </c>
      <c r="D264" s="39" t="str">
        <f t="shared" si="53"/>
        <v>08</v>
      </c>
      <c r="E264" s="42" t="str">
        <f t="shared" si="49"/>
        <v>09</v>
      </c>
      <c r="F264" s="331" t="s">
        <v>857</v>
      </c>
      <c r="G264" s="331" t="s">
        <v>53</v>
      </c>
      <c r="H264" s="331" t="s">
        <v>161</v>
      </c>
      <c r="I264" s="331" t="s">
        <v>157</v>
      </c>
      <c r="J264" s="332">
        <v>4.367413758E9</v>
      </c>
      <c r="K264" s="18"/>
      <c r="L264" s="18"/>
    </row>
    <row r="265" hidden="1">
      <c r="A265" s="41">
        <v>266.0</v>
      </c>
      <c r="B265" s="41" t="s">
        <v>842</v>
      </c>
      <c r="C265" s="41" t="s">
        <v>33</v>
      </c>
      <c r="D265" s="39" t="str">
        <f t="shared" si="53"/>
        <v>16</v>
      </c>
      <c r="E265" s="42" t="str">
        <f t="shared" si="49"/>
        <v>33</v>
      </c>
      <c r="F265" s="331" t="s">
        <v>858</v>
      </c>
      <c r="G265" s="331" t="s">
        <v>53</v>
      </c>
      <c r="H265" s="331" t="s">
        <v>158</v>
      </c>
      <c r="I265" s="331" t="s">
        <v>129</v>
      </c>
      <c r="J265" s="332">
        <v>5.903642709E9</v>
      </c>
      <c r="K265" s="18"/>
      <c r="L265" s="18"/>
    </row>
    <row r="266" hidden="1">
      <c r="A266" s="41">
        <v>267.0</v>
      </c>
      <c r="B266" s="41" t="s">
        <v>842</v>
      </c>
      <c r="C266" s="41" t="s">
        <v>33</v>
      </c>
      <c r="D266" s="39" t="str">
        <f t="shared" si="53"/>
        <v>21</v>
      </c>
      <c r="E266" s="42" t="str">
        <f t="shared" si="49"/>
        <v>02</v>
      </c>
      <c r="F266" s="331" t="s">
        <v>831</v>
      </c>
      <c r="G266" s="331" t="s">
        <v>53</v>
      </c>
      <c r="H266" s="331" t="s">
        <v>161</v>
      </c>
      <c r="I266" s="331" t="s">
        <v>861</v>
      </c>
      <c r="J266" s="332">
        <v>4.642142228E9</v>
      </c>
      <c r="K266" s="18"/>
      <c r="L266" s="18"/>
    </row>
    <row r="267" hidden="1">
      <c r="A267" s="41">
        <v>268.0</v>
      </c>
      <c r="B267" s="41" t="s">
        <v>842</v>
      </c>
      <c r="C267" s="41" t="s">
        <v>33</v>
      </c>
      <c r="D267" s="39" t="str">
        <f t="shared" si="53"/>
        <v>21</v>
      </c>
      <c r="E267" s="42" t="str">
        <f t="shared" si="49"/>
        <v>03</v>
      </c>
      <c r="F267" s="331" t="s">
        <v>862</v>
      </c>
      <c r="G267" s="331" t="s">
        <v>53</v>
      </c>
      <c r="H267" s="331" t="s">
        <v>161</v>
      </c>
      <c r="I267" s="331" t="s">
        <v>222</v>
      </c>
      <c r="J267" s="332">
        <v>4.804260509E9</v>
      </c>
      <c r="K267" s="18"/>
      <c r="L267" s="18"/>
    </row>
    <row r="268" hidden="1">
      <c r="A268" s="41">
        <v>269.0</v>
      </c>
      <c r="B268" s="41" t="s">
        <v>842</v>
      </c>
      <c r="C268" s="41" t="s">
        <v>33</v>
      </c>
      <c r="D268" s="39" t="str">
        <f t="shared" si="53"/>
        <v>22</v>
      </c>
      <c r="E268" s="42" t="str">
        <f t="shared" si="49"/>
        <v>08</v>
      </c>
      <c r="F268" s="331" t="s">
        <v>863</v>
      </c>
      <c r="G268" s="331" t="s">
        <v>53</v>
      </c>
      <c r="H268" s="331" t="s">
        <v>864</v>
      </c>
      <c r="I268" s="331" t="s">
        <v>164</v>
      </c>
      <c r="J268" s="332">
        <v>4.81738012E9</v>
      </c>
      <c r="K268" s="18"/>
      <c r="L268" s="18"/>
    </row>
    <row r="269" hidden="1">
      <c r="A269" s="41">
        <v>270.0</v>
      </c>
      <c r="B269" s="41" t="s">
        <v>842</v>
      </c>
      <c r="C269" s="331" t="s">
        <v>22</v>
      </c>
      <c r="D269" s="39" t="str">
        <f t="shared" ref="D269:D273" si="54">mid(F269,3,2)</f>
        <v>23</v>
      </c>
      <c r="E269" s="42" t="str">
        <f t="shared" si="49"/>
        <v>29</v>
      </c>
      <c r="F269" s="331" t="s">
        <v>868</v>
      </c>
      <c r="G269" s="331" t="s">
        <v>53</v>
      </c>
      <c r="H269" s="331" t="s">
        <v>161</v>
      </c>
      <c r="I269" s="331" t="s">
        <v>76</v>
      </c>
      <c r="J269" s="332">
        <v>6.177945813E9</v>
      </c>
      <c r="K269" s="18"/>
      <c r="L269" s="18"/>
    </row>
    <row r="270" hidden="1">
      <c r="A270" s="41">
        <v>271.0</v>
      </c>
      <c r="B270" s="41" t="s">
        <v>842</v>
      </c>
      <c r="C270" s="331" t="s">
        <v>151</v>
      </c>
      <c r="D270" s="39" t="str">
        <f t="shared" si="54"/>
        <v>06</v>
      </c>
      <c r="E270" s="42" t="str">
        <f t="shared" si="49"/>
        <v>33</v>
      </c>
      <c r="F270" s="331" t="s">
        <v>755</v>
      </c>
      <c r="G270" s="331" t="s">
        <v>53</v>
      </c>
      <c r="H270" s="331" t="s">
        <v>360</v>
      </c>
      <c r="I270" s="331" t="s">
        <v>145</v>
      </c>
      <c r="J270" s="332">
        <v>3.572877212E9</v>
      </c>
      <c r="K270" s="18"/>
      <c r="L270" s="18"/>
    </row>
    <row r="271" hidden="1">
      <c r="A271" s="41">
        <v>272.0</v>
      </c>
      <c r="B271" s="41" t="s">
        <v>842</v>
      </c>
      <c r="C271" s="331" t="s">
        <v>151</v>
      </c>
      <c r="D271" s="39" t="str">
        <f t="shared" si="54"/>
        <v>08</v>
      </c>
      <c r="E271" s="42" t="str">
        <f t="shared" si="49"/>
        <v>05</v>
      </c>
      <c r="F271" s="331" t="s">
        <v>870</v>
      </c>
      <c r="G271" s="331" t="s">
        <v>53</v>
      </c>
      <c r="H271" s="331" t="s">
        <v>161</v>
      </c>
      <c r="I271" s="331" t="s">
        <v>222</v>
      </c>
      <c r="J271" s="332">
        <v>4.656289064E9</v>
      </c>
      <c r="K271" s="18"/>
      <c r="L271" s="18"/>
    </row>
    <row r="272" hidden="1">
      <c r="A272" s="41">
        <v>273.0</v>
      </c>
      <c r="B272" s="41" t="s">
        <v>842</v>
      </c>
      <c r="C272" s="331" t="s">
        <v>151</v>
      </c>
      <c r="D272" s="39" t="str">
        <f t="shared" si="54"/>
        <v>10</v>
      </c>
      <c r="E272" s="42" t="str">
        <f t="shared" si="49"/>
        <v>02</v>
      </c>
      <c r="F272" s="331" t="s">
        <v>872</v>
      </c>
      <c r="G272" s="331" t="s">
        <v>53</v>
      </c>
      <c r="H272" s="331" t="s">
        <v>191</v>
      </c>
      <c r="I272" s="331" t="s">
        <v>209</v>
      </c>
      <c r="J272" s="332">
        <v>5.127005089E9</v>
      </c>
      <c r="K272" s="18"/>
      <c r="L272" s="18"/>
    </row>
    <row r="273" hidden="1">
      <c r="A273" s="41">
        <v>274.0</v>
      </c>
      <c r="B273" s="41" t="s">
        <v>842</v>
      </c>
      <c r="C273" s="331" t="s">
        <v>151</v>
      </c>
      <c r="D273" s="39" t="str">
        <f t="shared" si="54"/>
        <v>10</v>
      </c>
      <c r="E273" s="42" t="str">
        <f t="shared" ref="E273:E274" si="55">RIGHT(F273,3)</f>
        <v>03A</v>
      </c>
      <c r="F273" s="331" t="s">
        <v>873</v>
      </c>
      <c r="G273" s="331" t="s">
        <v>53</v>
      </c>
      <c r="H273" s="331" t="s">
        <v>161</v>
      </c>
      <c r="I273" s="331" t="s">
        <v>197</v>
      </c>
      <c r="J273" s="332">
        <v>4.743979556E9</v>
      </c>
      <c r="K273" s="18"/>
      <c r="L273" s="18"/>
    </row>
    <row r="274" hidden="1">
      <c r="A274" s="41">
        <v>275.0</v>
      </c>
      <c r="B274" s="41" t="s">
        <v>842</v>
      </c>
      <c r="C274" s="331" t="s">
        <v>151</v>
      </c>
      <c r="D274" s="39" t="str">
        <f>mid(F274,3,3)</f>
        <v>12B</v>
      </c>
      <c r="E274" s="42" t="str">
        <f t="shared" si="55"/>
        <v>12A</v>
      </c>
      <c r="F274" s="331" t="s">
        <v>874</v>
      </c>
      <c r="G274" s="331" t="s">
        <v>53</v>
      </c>
      <c r="H274" s="331" t="s">
        <v>161</v>
      </c>
      <c r="I274" s="331" t="s">
        <v>76</v>
      </c>
      <c r="J274" s="332">
        <v>3.546611176E9</v>
      </c>
      <c r="K274" s="18"/>
      <c r="L274" s="18"/>
    </row>
    <row r="275" hidden="1">
      <c r="A275" s="41">
        <v>276.0</v>
      </c>
      <c r="B275" s="41" t="s">
        <v>842</v>
      </c>
      <c r="C275" s="331" t="s">
        <v>151</v>
      </c>
      <c r="D275" s="39" t="str">
        <f t="shared" ref="D275:D281" si="56">mid(F275,3,2)</f>
        <v>21</v>
      </c>
      <c r="E275" s="42" t="str">
        <f t="shared" ref="E275:E276" si="57">RIGHT(F275,2)</f>
        <v>01</v>
      </c>
      <c r="F275" s="331" t="s">
        <v>876</v>
      </c>
      <c r="G275" s="331" t="s">
        <v>53</v>
      </c>
      <c r="H275" s="331" t="s">
        <v>191</v>
      </c>
      <c r="I275" s="331" t="s">
        <v>190</v>
      </c>
      <c r="J275" s="332">
        <v>5.53639811E9</v>
      </c>
      <c r="K275" s="18"/>
      <c r="L275" s="18"/>
    </row>
    <row r="276" hidden="1">
      <c r="A276" s="41">
        <v>277.0</v>
      </c>
      <c r="B276" s="41" t="s">
        <v>842</v>
      </c>
      <c r="C276" s="331" t="s">
        <v>151</v>
      </c>
      <c r="D276" s="39" t="str">
        <f t="shared" si="56"/>
        <v>22</v>
      </c>
      <c r="E276" s="42" t="str">
        <f t="shared" si="57"/>
        <v>03</v>
      </c>
      <c r="F276" s="331" t="s">
        <v>877</v>
      </c>
      <c r="G276" s="331" t="s">
        <v>53</v>
      </c>
      <c r="H276" s="331" t="s">
        <v>161</v>
      </c>
      <c r="I276" s="331" t="s">
        <v>181</v>
      </c>
      <c r="J276" s="332">
        <v>5.209197396E9</v>
      </c>
      <c r="K276" s="18"/>
      <c r="L276" s="18"/>
    </row>
    <row r="277" hidden="1">
      <c r="A277" s="41">
        <v>278.0</v>
      </c>
      <c r="B277" s="41" t="s">
        <v>842</v>
      </c>
      <c r="C277" s="331" t="s">
        <v>151</v>
      </c>
      <c r="D277" s="39" t="str">
        <f t="shared" si="56"/>
        <v>22</v>
      </c>
      <c r="E277" s="42" t="str">
        <f>RIGHT(F277,3)</f>
        <v>03A</v>
      </c>
      <c r="F277" s="331" t="s">
        <v>878</v>
      </c>
      <c r="G277" s="331" t="s">
        <v>53</v>
      </c>
      <c r="H277" s="331" t="s">
        <v>161</v>
      </c>
      <c r="I277" s="331" t="s">
        <v>197</v>
      </c>
      <c r="J277" s="332">
        <v>5.166840681E9</v>
      </c>
      <c r="K277" s="18"/>
      <c r="L277" s="18"/>
    </row>
    <row r="278" hidden="1">
      <c r="A278" s="41">
        <v>279.0</v>
      </c>
      <c r="B278" s="41" t="s">
        <v>842</v>
      </c>
      <c r="C278" s="331" t="s">
        <v>151</v>
      </c>
      <c r="D278" s="39" t="str">
        <f t="shared" si="56"/>
        <v>23</v>
      </c>
      <c r="E278" s="42" t="str">
        <f t="shared" ref="E278:E279" si="58">RIGHT(F278,2)</f>
        <v>21</v>
      </c>
      <c r="F278" s="331" t="s">
        <v>881</v>
      </c>
      <c r="G278" s="331" t="s">
        <v>53</v>
      </c>
      <c r="H278" s="331" t="s">
        <v>161</v>
      </c>
      <c r="I278" s="331" t="s">
        <v>76</v>
      </c>
      <c r="J278" s="332">
        <v>4.321350927E9</v>
      </c>
      <c r="K278" s="18"/>
      <c r="L278" s="18"/>
    </row>
    <row r="279" hidden="1">
      <c r="A279" s="41">
        <v>280.0</v>
      </c>
      <c r="B279" s="41" t="s">
        <v>842</v>
      </c>
      <c r="C279" s="331" t="s">
        <v>151</v>
      </c>
      <c r="D279" s="39" t="str">
        <f t="shared" si="56"/>
        <v>23</v>
      </c>
      <c r="E279" s="42" t="str">
        <f t="shared" si="58"/>
        <v>30</v>
      </c>
      <c r="F279" s="331" t="s">
        <v>882</v>
      </c>
      <c r="G279" s="331" t="s">
        <v>53</v>
      </c>
      <c r="H279" s="331" t="s">
        <v>161</v>
      </c>
      <c r="I279" s="331" t="s">
        <v>157</v>
      </c>
      <c r="J279" s="332">
        <v>4.107690073E9</v>
      </c>
      <c r="K279" s="18"/>
      <c r="L279" s="18"/>
    </row>
    <row r="280">
      <c r="A280" s="41">
        <v>281.0</v>
      </c>
      <c r="B280" s="41" t="s">
        <v>842</v>
      </c>
      <c r="C280" s="331" t="s">
        <v>151</v>
      </c>
      <c r="D280" s="39" t="str">
        <f t="shared" si="56"/>
        <v>12</v>
      </c>
      <c r="E280" s="42" t="str">
        <f>RIGHT(F280,3)</f>
        <v>12A</v>
      </c>
      <c r="F280" s="331" t="s">
        <v>909</v>
      </c>
      <c r="G280" s="331" t="s">
        <v>53</v>
      </c>
      <c r="H280" s="331" t="s">
        <v>161</v>
      </c>
      <c r="I280" s="331" t="s">
        <v>76</v>
      </c>
      <c r="J280" s="332">
        <v>3.760231974E9</v>
      </c>
      <c r="K280" s="18"/>
      <c r="L280" s="18"/>
    </row>
    <row r="281" hidden="1">
      <c r="A281" s="41">
        <v>282.0</v>
      </c>
      <c r="B281" s="41" t="s">
        <v>842</v>
      </c>
      <c r="C281" s="331" t="s">
        <v>151</v>
      </c>
      <c r="D281" s="39" t="str">
        <f t="shared" si="56"/>
        <v>23</v>
      </c>
      <c r="E281" s="42" t="str">
        <f t="shared" ref="E281:E317" si="59">RIGHT(F281,2)</f>
        <v>07</v>
      </c>
      <c r="F281" s="331" t="s">
        <v>885</v>
      </c>
      <c r="G281" s="331" t="s">
        <v>89</v>
      </c>
      <c r="H281" s="331" t="s">
        <v>369</v>
      </c>
      <c r="I281" s="331" t="s">
        <v>155</v>
      </c>
      <c r="J281" s="332">
        <v>3.344802717E9</v>
      </c>
      <c r="K281" s="18"/>
      <c r="L281" s="18"/>
    </row>
    <row r="282" hidden="1">
      <c r="A282" s="41">
        <v>283.0</v>
      </c>
      <c r="B282" s="41" t="s">
        <v>842</v>
      </c>
      <c r="C282" s="41" t="s">
        <v>33</v>
      </c>
      <c r="D282" s="39" t="str">
        <f t="shared" ref="D282:D283" si="60">mid(F282,2,2)</f>
        <v>09</v>
      </c>
      <c r="E282" s="42" t="str">
        <f t="shared" si="59"/>
        <v>45</v>
      </c>
      <c r="F282" s="331" t="s">
        <v>886</v>
      </c>
      <c r="G282" s="331" t="s">
        <v>24</v>
      </c>
      <c r="H282" s="331" t="s">
        <v>887</v>
      </c>
      <c r="I282" s="331" t="s">
        <v>403</v>
      </c>
      <c r="J282" s="332">
        <v>7.571477099E9</v>
      </c>
      <c r="K282" s="18"/>
      <c r="L282" s="18"/>
    </row>
    <row r="283" hidden="1">
      <c r="A283" s="41">
        <v>284.0</v>
      </c>
      <c r="B283" s="41" t="s">
        <v>842</v>
      </c>
      <c r="C283" s="41" t="s">
        <v>33</v>
      </c>
      <c r="D283" s="39" t="str">
        <f t="shared" si="60"/>
        <v>17</v>
      </c>
      <c r="E283" s="42" t="str">
        <f t="shared" si="59"/>
        <v>01</v>
      </c>
      <c r="F283" s="331" t="s">
        <v>889</v>
      </c>
      <c r="G283" s="331" t="s">
        <v>24</v>
      </c>
      <c r="H283" s="331" t="s">
        <v>887</v>
      </c>
      <c r="I283" s="331" t="s">
        <v>403</v>
      </c>
      <c r="J283" s="332">
        <v>6.996172513E9</v>
      </c>
      <c r="K283" s="18"/>
      <c r="L283" s="18"/>
    </row>
    <row r="284" hidden="1">
      <c r="A284" s="41">
        <v>285.0</v>
      </c>
      <c r="B284" s="41" t="s">
        <v>842</v>
      </c>
      <c r="C284" s="331" t="s">
        <v>151</v>
      </c>
      <c r="D284" s="39" t="str">
        <f t="shared" ref="D284:D285" si="61">mid(F284,3,3)</f>
        <v>12A</v>
      </c>
      <c r="E284" s="42" t="str">
        <f t="shared" si="59"/>
        <v>09</v>
      </c>
      <c r="F284" s="331" t="s">
        <v>890</v>
      </c>
      <c r="G284" s="331" t="s">
        <v>24</v>
      </c>
      <c r="H284" s="331" t="s">
        <v>316</v>
      </c>
      <c r="I284" s="331" t="s">
        <v>202</v>
      </c>
      <c r="J284" s="332">
        <v>6.660112029E9</v>
      </c>
      <c r="K284" s="18"/>
      <c r="L284" s="18"/>
    </row>
    <row r="285" hidden="1">
      <c r="A285" s="41">
        <v>286.0</v>
      </c>
      <c r="B285" s="41" t="s">
        <v>842</v>
      </c>
      <c r="C285" s="331" t="s">
        <v>151</v>
      </c>
      <c r="D285" s="39" t="str">
        <f t="shared" si="61"/>
        <v>12A</v>
      </c>
      <c r="E285" s="42" t="str">
        <f t="shared" si="59"/>
        <v>34</v>
      </c>
      <c r="F285" s="331" t="s">
        <v>891</v>
      </c>
      <c r="G285" s="331" t="s">
        <v>24</v>
      </c>
      <c r="H285" s="331" t="s">
        <v>316</v>
      </c>
      <c r="I285" s="331" t="s">
        <v>202</v>
      </c>
      <c r="J285" s="332">
        <v>6.660112029E9</v>
      </c>
      <c r="K285" s="18"/>
      <c r="L285" s="18"/>
    </row>
    <row r="286" hidden="1">
      <c r="A286" s="41">
        <v>287.0</v>
      </c>
      <c r="B286" s="41" t="s">
        <v>842</v>
      </c>
      <c r="C286" s="41" t="s">
        <v>51</v>
      </c>
      <c r="D286" s="39" t="str">
        <f t="shared" ref="D286:D293" si="62">mid(F286,3,2)</f>
        <v>30</v>
      </c>
      <c r="E286" s="42" t="str">
        <f t="shared" si="59"/>
        <v>30</v>
      </c>
      <c r="F286" s="331" t="s">
        <v>928</v>
      </c>
      <c r="G286" s="331" t="s">
        <v>24</v>
      </c>
      <c r="H286" s="331" t="s">
        <v>318</v>
      </c>
      <c r="I286" s="331" t="s">
        <v>69</v>
      </c>
      <c r="J286" s="332">
        <v>7.6960561E9</v>
      </c>
      <c r="K286" s="18"/>
      <c r="L286" s="18"/>
    </row>
    <row r="287" hidden="1">
      <c r="A287" s="41">
        <v>288.0</v>
      </c>
      <c r="B287" s="41" t="s">
        <v>842</v>
      </c>
      <c r="C287" s="41" t="s">
        <v>51</v>
      </c>
      <c r="D287" s="39" t="str">
        <f t="shared" si="62"/>
        <v>17</v>
      </c>
      <c r="E287" s="42" t="str">
        <f t="shared" si="59"/>
        <v>24</v>
      </c>
      <c r="F287" s="331" t="s">
        <v>895</v>
      </c>
      <c r="G287" s="331" t="s">
        <v>24</v>
      </c>
      <c r="H287" s="331" t="s">
        <v>896</v>
      </c>
      <c r="I287" s="331" t="s">
        <v>133</v>
      </c>
      <c r="J287" s="332">
        <v>6.311254531E9</v>
      </c>
      <c r="K287" s="18"/>
      <c r="L287" s="18"/>
    </row>
    <row r="288" hidden="1">
      <c r="A288" s="41">
        <v>290.0</v>
      </c>
      <c r="B288" s="41" t="s">
        <v>842</v>
      </c>
      <c r="C288" s="41" t="s">
        <v>51</v>
      </c>
      <c r="D288" s="39" t="str">
        <f t="shared" si="62"/>
        <v>18</v>
      </c>
      <c r="E288" s="42" t="str">
        <f t="shared" si="59"/>
        <v>25</v>
      </c>
      <c r="F288" s="331" t="s">
        <v>899</v>
      </c>
      <c r="G288" s="331" t="s">
        <v>89</v>
      </c>
      <c r="H288" s="331" t="s">
        <v>426</v>
      </c>
      <c r="I288" s="331" t="s">
        <v>727</v>
      </c>
      <c r="J288" s="332">
        <v>2.75602647E9</v>
      </c>
      <c r="K288" s="18"/>
      <c r="L288" s="18"/>
    </row>
    <row r="289" hidden="1">
      <c r="A289" s="41">
        <v>291.0</v>
      </c>
      <c r="B289" s="41" t="s">
        <v>842</v>
      </c>
      <c r="C289" s="41" t="s">
        <v>51</v>
      </c>
      <c r="D289" s="39" t="str">
        <f t="shared" si="62"/>
        <v>05</v>
      </c>
      <c r="E289" s="42" t="str">
        <f t="shared" si="59"/>
        <v>31</v>
      </c>
      <c r="F289" s="295" t="s">
        <v>900</v>
      </c>
      <c r="G289" s="295" t="s">
        <v>89</v>
      </c>
      <c r="H289" s="295" t="s">
        <v>299</v>
      </c>
      <c r="I289" s="295" t="s">
        <v>707</v>
      </c>
      <c r="J289" s="387">
        <v>3.059154848E9</v>
      </c>
      <c r="K289" s="18"/>
      <c r="L289" s="18"/>
    </row>
    <row r="290" hidden="1">
      <c r="A290" s="41">
        <v>292.0</v>
      </c>
      <c r="B290" s="41" t="s">
        <v>842</v>
      </c>
      <c r="C290" s="41" t="s">
        <v>51</v>
      </c>
      <c r="D290" s="39" t="str">
        <f t="shared" si="62"/>
        <v>23</v>
      </c>
      <c r="E290" s="42" t="str">
        <f t="shared" si="59"/>
        <v>32</v>
      </c>
      <c r="F290" s="295" t="s">
        <v>901</v>
      </c>
      <c r="G290" s="295" t="s">
        <v>89</v>
      </c>
      <c r="H290" s="295" t="s">
        <v>299</v>
      </c>
      <c r="I290" s="295" t="s">
        <v>300</v>
      </c>
      <c r="J290" s="387">
        <v>3.291153962E9</v>
      </c>
      <c r="K290" s="18"/>
      <c r="L290" s="18"/>
    </row>
    <row r="291" hidden="1">
      <c r="A291" s="41">
        <v>293.0</v>
      </c>
      <c r="B291" s="41" t="s">
        <v>842</v>
      </c>
      <c r="C291" s="41" t="s">
        <v>51</v>
      </c>
      <c r="D291" s="39" t="str">
        <f t="shared" si="62"/>
        <v>23</v>
      </c>
      <c r="E291" s="42" t="str">
        <f t="shared" si="59"/>
        <v>31</v>
      </c>
      <c r="F291" s="295" t="s">
        <v>902</v>
      </c>
      <c r="G291" s="295" t="s">
        <v>89</v>
      </c>
      <c r="H291" s="295" t="s">
        <v>299</v>
      </c>
      <c r="I291" s="295" t="s">
        <v>707</v>
      </c>
      <c r="J291" s="387">
        <v>3.484083216E9</v>
      </c>
      <c r="K291" s="18"/>
      <c r="L291" s="18"/>
    </row>
    <row r="292" hidden="1">
      <c r="A292" s="41">
        <v>295.0</v>
      </c>
      <c r="B292" s="41" t="s">
        <v>842</v>
      </c>
      <c r="C292" s="41" t="s">
        <v>51</v>
      </c>
      <c r="D292" s="39" t="str">
        <f t="shared" si="62"/>
        <v>09</v>
      </c>
      <c r="E292" s="42" t="str">
        <f t="shared" si="59"/>
        <v>27</v>
      </c>
      <c r="F292" s="295" t="s">
        <v>904</v>
      </c>
      <c r="G292" s="295" t="s">
        <v>53</v>
      </c>
      <c r="H292" s="295" t="s">
        <v>702</v>
      </c>
      <c r="I292" s="295" t="s">
        <v>120</v>
      </c>
      <c r="J292" s="387">
        <v>3.838039225E9</v>
      </c>
      <c r="K292" s="18"/>
      <c r="L292" s="18"/>
    </row>
    <row r="293" hidden="1">
      <c r="A293" s="41">
        <v>296.0</v>
      </c>
      <c r="B293" s="41" t="s">
        <v>842</v>
      </c>
      <c r="C293" s="41" t="s">
        <v>51</v>
      </c>
      <c r="D293" s="39" t="str">
        <f t="shared" si="62"/>
        <v>23</v>
      </c>
      <c r="E293" s="42" t="str">
        <f t="shared" si="59"/>
        <v>27</v>
      </c>
      <c r="F293" s="295" t="s">
        <v>905</v>
      </c>
      <c r="G293" s="295" t="s">
        <v>53</v>
      </c>
      <c r="H293" s="295" t="s">
        <v>702</v>
      </c>
      <c r="I293" s="295" t="s">
        <v>120</v>
      </c>
      <c r="J293" s="387">
        <v>4.239890929E9</v>
      </c>
      <c r="K293" s="18"/>
      <c r="L293" s="18"/>
    </row>
    <row r="294" hidden="1">
      <c r="A294" s="41">
        <v>297.0</v>
      </c>
      <c r="B294" s="41" t="s">
        <v>842</v>
      </c>
      <c r="C294" s="41" t="s">
        <v>51</v>
      </c>
      <c r="D294" s="39" t="str">
        <f t="shared" ref="D294:D295" si="63">mid(F294,3,3)</f>
        <v>12B</v>
      </c>
      <c r="E294" s="42" t="str">
        <f t="shared" si="59"/>
        <v>29</v>
      </c>
      <c r="F294" s="295" t="s">
        <v>907</v>
      </c>
      <c r="G294" s="295" t="s">
        <v>53</v>
      </c>
      <c r="H294" s="295" t="s">
        <v>910</v>
      </c>
      <c r="I294" s="295" t="s">
        <v>99</v>
      </c>
      <c r="J294" s="387">
        <v>4.241394585E9</v>
      </c>
      <c r="K294" s="18"/>
      <c r="L294" s="18"/>
    </row>
    <row r="295" hidden="1">
      <c r="A295" s="41">
        <v>298.0</v>
      </c>
      <c r="B295" s="41" t="s">
        <v>842</v>
      </c>
      <c r="C295" s="41" t="s">
        <v>51</v>
      </c>
      <c r="D295" s="39" t="str">
        <f t="shared" si="63"/>
        <v>12B</v>
      </c>
      <c r="E295" s="42" t="str">
        <f t="shared" si="59"/>
        <v>22</v>
      </c>
      <c r="F295" s="295" t="s">
        <v>912</v>
      </c>
      <c r="G295" s="295" t="s">
        <v>53</v>
      </c>
      <c r="H295" s="295" t="s">
        <v>287</v>
      </c>
      <c r="I295" s="295" t="s">
        <v>681</v>
      </c>
      <c r="J295" s="387">
        <v>4.279644175E9</v>
      </c>
      <c r="K295" s="18"/>
      <c r="L295" s="18"/>
    </row>
    <row r="296" hidden="1">
      <c r="A296" s="41">
        <v>299.0</v>
      </c>
      <c r="B296" s="41" t="s">
        <v>842</v>
      </c>
      <c r="C296" s="41" t="s">
        <v>51</v>
      </c>
      <c r="D296" s="39" t="str">
        <f t="shared" ref="D296:D308" si="64">mid(F296,3,2)</f>
        <v>17</v>
      </c>
      <c r="E296" s="42" t="str">
        <f t="shared" si="59"/>
        <v>29</v>
      </c>
      <c r="F296" s="295" t="s">
        <v>917</v>
      </c>
      <c r="G296" s="295" t="s">
        <v>53</v>
      </c>
      <c r="H296" s="295" t="s">
        <v>910</v>
      </c>
      <c r="I296" s="295" t="s">
        <v>99</v>
      </c>
      <c r="J296" s="387">
        <v>4.529059148E9</v>
      </c>
      <c r="K296" s="18"/>
      <c r="L296" s="18"/>
    </row>
    <row r="297" hidden="1">
      <c r="A297" s="41">
        <v>300.0</v>
      </c>
      <c r="B297" s="41" t="s">
        <v>842</v>
      </c>
      <c r="C297" s="41" t="s">
        <v>51</v>
      </c>
      <c r="D297" s="39" t="str">
        <f t="shared" si="64"/>
        <v>23</v>
      </c>
      <c r="E297" s="42" t="str">
        <f t="shared" si="59"/>
        <v>29</v>
      </c>
      <c r="F297" s="295" t="s">
        <v>918</v>
      </c>
      <c r="G297" s="295" t="s">
        <v>53</v>
      </c>
      <c r="H297" s="295" t="s">
        <v>910</v>
      </c>
      <c r="I297" s="295" t="s">
        <v>99</v>
      </c>
      <c r="J297" s="387">
        <v>4.720835524E9</v>
      </c>
      <c r="K297" s="18"/>
      <c r="L297" s="18"/>
    </row>
    <row r="298" hidden="1">
      <c r="A298" s="41">
        <v>301.0</v>
      </c>
      <c r="B298" s="41" t="s">
        <v>842</v>
      </c>
      <c r="C298" s="41" t="s">
        <v>51</v>
      </c>
      <c r="D298" s="39" t="str">
        <f t="shared" si="64"/>
        <v>19</v>
      </c>
      <c r="E298" s="42" t="str">
        <f t="shared" si="59"/>
        <v>05</v>
      </c>
      <c r="F298" s="295" t="s">
        <v>920</v>
      </c>
      <c r="G298" s="295" t="s">
        <v>53</v>
      </c>
      <c r="H298" s="295">
        <v>59.0</v>
      </c>
      <c r="I298" s="295" t="s">
        <v>61</v>
      </c>
      <c r="J298" s="387">
        <v>4.915157476E9</v>
      </c>
      <c r="K298" s="18"/>
      <c r="L298" s="18"/>
    </row>
    <row r="299" hidden="1">
      <c r="A299" s="41">
        <v>302.0</v>
      </c>
      <c r="B299" s="41" t="s">
        <v>842</v>
      </c>
      <c r="C299" s="41" t="s">
        <v>51</v>
      </c>
      <c r="D299" s="39" t="str">
        <f t="shared" si="64"/>
        <v>17</v>
      </c>
      <c r="E299" s="42" t="str">
        <f t="shared" si="59"/>
        <v>07</v>
      </c>
      <c r="F299" s="295" t="s">
        <v>922</v>
      </c>
      <c r="G299" s="295" t="s">
        <v>24</v>
      </c>
      <c r="H299" s="295" t="s">
        <v>342</v>
      </c>
      <c r="I299" s="295" t="s">
        <v>86</v>
      </c>
      <c r="J299" s="387">
        <v>5.058543757E9</v>
      </c>
      <c r="K299" s="18"/>
      <c r="L299" s="18"/>
    </row>
    <row r="300" hidden="1">
      <c r="A300" s="41">
        <v>303.0</v>
      </c>
      <c r="B300" s="41" t="s">
        <v>842</v>
      </c>
      <c r="C300" s="41" t="s">
        <v>51</v>
      </c>
      <c r="D300" s="39" t="str">
        <f t="shared" si="64"/>
        <v>23</v>
      </c>
      <c r="E300" s="42" t="str">
        <f t="shared" si="59"/>
        <v>02</v>
      </c>
      <c r="F300" s="295" t="s">
        <v>924</v>
      </c>
      <c r="G300" s="295" t="s">
        <v>53</v>
      </c>
      <c r="H300" s="295" t="s">
        <v>339</v>
      </c>
      <c r="I300" s="295" t="s">
        <v>76</v>
      </c>
      <c r="J300" s="387">
        <v>5.164272324E9</v>
      </c>
      <c r="K300" s="18"/>
      <c r="L300" s="18"/>
    </row>
    <row r="301" hidden="1">
      <c r="A301" s="41">
        <v>304.0</v>
      </c>
      <c r="B301" s="41" t="s">
        <v>842</v>
      </c>
      <c r="C301" s="41" t="s">
        <v>51</v>
      </c>
      <c r="D301" s="39" t="str">
        <f t="shared" si="64"/>
        <v>23</v>
      </c>
      <c r="E301" s="42" t="str">
        <f t="shared" si="59"/>
        <v>07</v>
      </c>
      <c r="F301" s="295" t="s">
        <v>925</v>
      </c>
      <c r="G301" s="295" t="s">
        <v>24</v>
      </c>
      <c r="H301" s="295" t="s">
        <v>342</v>
      </c>
      <c r="I301" s="295" t="s">
        <v>86</v>
      </c>
      <c r="J301" s="387">
        <v>5.27265285E9</v>
      </c>
      <c r="K301" s="18"/>
      <c r="L301" s="18"/>
    </row>
    <row r="302" hidden="1">
      <c r="A302" s="41">
        <v>305.0</v>
      </c>
      <c r="B302" s="41" t="s">
        <v>842</v>
      </c>
      <c r="C302" s="41" t="s">
        <v>51</v>
      </c>
      <c r="D302" s="39" t="str">
        <f t="shared" si="64"/>
        <v>23</v>
      </c>
      <c r="E302" s="42" t="str">
        <f t="shared" si="59"/>
        <v>20</v>
      </c>
      <c r="F302" s="295" t="s">
        <v>927</v>
      </c>
      <c r="G302" s="295" t="s">
        <v>24</v>
      </c>
      <c r="H302" s="295">
        <v>80.0</v>
      </c>
      <c r="I302" s="295" t="s">
        <v>697</v>
      </c>
      <c r="J302" s="387">
        <v>6.139346628E9</v>
      </c>
      <c r="K302" s="18"/>
      <c r="L302" s="18"/>
    </row>
    <row r="303" hidden="1">
      <c r="A303" s="41">
        <v>306.0</v>
      </c>
      <c r="B303" s="41" t="s">
        <v>842</v>
      </c>
      <c r="C303" s="41" t="s">
        <v>51</v>
      </c>
      <c r="D303" s="39" t="str">
        <f t="shared" si="64"/>
        <v>23</v>
      </c>
      <c r="E303" s="42" t="str">
        <f t="shared" si="59"/>
        <v>28</v>
      </c>
      <c r="F303" s="295" t="s">
        <v>930</v>
      </c>
      <c r="G303" s="295" t="s">
        <v>24</v>
      </c>
      <c r="H303" s="295" t="s">
        <v>335</v>
      </c>
      <c r="I303" s="295" t="s">
        <v>72</v>
      </c>
      <c r="J303" s="387">
        <v>6.157174653E9</v>
      </c>
      <c r="K303" s="18"/>
      <c r="L303" s="18"/>
    </row>
    <row r="304">
      <c r="A304" s="41">
        <v>307.0</v>
      </c>
      <c r="B304" s="41" t="s">
        <v>931</v>
      </c>
      <c r="C304" s="295" t="s">
        <v>151</v>
      </c>
      <c r="D304" s="39" t="str">
        <f t="shared" si="64"/>
        <v>12</v>
      </c>
      <c r="E304" s="42" t="str">
        <f t="shared" si="59"/>
        <v>32</v>
      </c>
      <c r="F304" s="295" t="s">
        <v>932</v>
      </c>
      <c r="G304" s="295" t="s">
        <v>53</v>
      </c>
      <c r="H304" s="39"/>
      <c r="I304" s="295" t="s">
        <v>288</v>
      </c>
      <c r="J304" s="387">
        <v>3.463778419E9</v>
      </c>
      <c r="K304" s="18"/>
      <c r="L304" s="18"/>
    </row>
    <row r="305" hidden="1">
      <c r="A305" s="41">
        <v>308.0</v>
      </c>
      <c r="B305" s="41" t="s">
        <v>931</v>
      </c>
      <c r="C305" s="295" t="s">
        <v>151</v>
      </c>
      <c r="D305" s="39" t="str">
        <f t="shared" si="64"/>
        <v>08</v>
      </c>
      <c r="E305" s="42" t="str">
        <f t="shared" si="59"/>
        <v>11</v>
      </c>
      <c r="F305" s="295" t="s">
        <v>935</v>
      </c>
      <c r="G305" s="295" t="s">
        <v>53</v>
      </c>
      <c r="H305" s="39"/>
      <c r="I305" s="295">
        <v>50.9</v>
      </c>
      <c r="J305" s="387">
        <v>3.188266068E9</v>
      </c>
      <c r="K305" s="18"/>
      <c r="L305" s="18"/>
    </row>
    <row r="306" hidden="1">
      <c r="A306" s="41">
        <v>309.0</v>
      </c>
      <c r="B306" s="41" t="s">
        <v>931</v>
      </c>
      <c r="C306" s="295" t="s">
        <v>151</v>
      </c>
      <c r="D306" s="39" t="str">
        <f t="shared" si="64"/>
        <v>08</v>
      </c>
      <c r="E306" s="42" t="str">
        <f t="shared" si="59"/>
        <v>32</v>
      </c>
      <c r="F306" s="295" t="s">
        <v>937</v>
      </c>
      <c r="G306" s="295" t="s">
        <v>53</v>
      </c>
      <c r="H306" s="39"/>
      <c r="I306" s="295">
        <v>52.1</v>
      </c>
      <c r="J306" s="387">
        <v>3.36251764E9</v>
      </c>
      <c r="K306" s="18"/>
      <c r="L306" s="18"/>
    </row>
    <row r="307" hidden="1">
      <c r="A307" s="41">
        <v>310.0</v>
      </c>
      <c r="B307" s="41" t="s">
        <v>931</v>
      </c>
      <c r="C307" s="295" t="s">
        <v>151</v>
      </c>
      <c r="D307" s="39" t="str">
        <f t="shared" si="64"/>
        <v>08</v>
      </c>
      <c r="E307" s="42" t="str">
        <f t="shared" si="59"/>
        <v>35</v>
      </c>
      <c r="F307" s="295" t="s">
        <v>938</v>
      </c>
      <c r="G307" s="295" t="s">
        <v>89</v>
      </c>
      <c r="H307" s="39"/>
      <c r="I307" s="295">
        <v>33.2</v>
      </c>
      <c r="J307" s="387">
        <v>2.896405891E9</v>
      </c>
      <c r="K307" s="18"/>
      <c r="L307" s="18"/>
    </row>
    <row r="308" hidden="1">
      <c r="A308" s="41">
        <v>311.0</v>
      </c>
      <c r="B308" s="41" t="s">
        <v>931</v>
      </c>
      <c r="C308" s="295" t="s">
        <v>151</v>
      </c>
      <c r="D308" s="39" t="str">
        <f t="shared" si="64"/>
        <v>19</v>
      </c>
      <c r="E308" s="42" t="str">
        <f t="shared" si="59"/>
        <v>31</v>
      </c>
      <c r="F308" s="295" t="s">
        <v>939</v>
      </c>
      <c r="G308" s="295" t="s">
        <v>24</v>
      </c>
      <c r="H308" s="39"/>
      <c r="I308" s="295">
        <v>72.6</v>
      </c>
      <c r="J308" s="387">
        <v>4.81215768E9</v>
      </c>
      <c r="K308" s="18"/>
      <c r="L308" s="18"/>
    </row>
    <row r="309" hidden="1">
      <c r="A309" s="41">
        <v>312.0</v>
      </c>
      <c r="B309" s="41" t="s">
        <v>931</v>
      </c>
      <c r="C309" s="295" t="s">
        <v>151</v>
      </c>
      <c r="D309" s="39" t="str">
        <f>mid(F309,3,3)</f>
        <v>12A</v>
      </c>
      <c r="E309" s="42" t="str">
        <f t="shared" si="59"/>
        <v>07</v>
      </c>
      <c r="F309" s="295" t="s">
        <v>941</v>
      </c>
      <c r="G309" s="295" t="s">
        <v>89</v>
      </c>
      <c r="H309" s="39"/>
      <c r="I309" s="295">
        <v>31.2</v>
      </c>
      <c r="J309" s="387">
        <v>2.966991906E9</v>
      </c>
      <c r="K309" s="18"/>
      <c r="L309" s="18"/>
    </row>
    <row r="310" hidden="1">
      <c r="A310" s="41">
        <v>313.0</v>
      </c>
      <c r="B310" s="41" t="s">
        <v>931</v>
      </c>
      <c r="C310" s="295" t="s">
        <v>151</v>
      </c>
      <c r="D310" s="39" t="str">
        <f t="shared" ref="D310:D315" si="65">mid(F310,3,2)</f>
        <v>10</v>
      </c>
      <c r="E310" s="42" t="str">
        <f t="shared" si="59"/>
        <v>33</v>
      </c>
      <c r="F310" s="295" t="s">
        <v>942</v>
      </c>
      <c r="G310" s="295" t="s">
        <v>53</v>
      </c>
      <c r="H310" s="39"/>
      <c r="I310" s="295">
        <v>54.5</v>
      </c>
      <c r="J310" s="387">
        <v>3.635815422E9</v>
      </c>
      <c r="K310" s="18"/>
      <c r="L310" s="18"/>
    </row>
    <row r="311" hidden="1">
      <c r="A311" s="41">
        <v>314.0</v>
      </c>
      <c r="B311" s="41" t="s">
        <v>931</v>
      </c>
      <c r="C311" s="295" t="s">
        <v>151</v>
      </c>
      <c r="D311" s="39" t="str">
        <f t="shared" si="65"/>
        <v>06</v>
      </c>
      <c r="E311" s="42" t="str">
        <f t="shared" si="59"/>
        <v>26</v>
      </c>
      <c r="F311" s="295" t="s">
        <v>752</v>
      </c>
      <c r="G311" s="295" t="s">
        <v>53</v>
      </c>
      <c r="H311" s="39"/>
      <c r="I311" s="295">
        <v>58.2</v>
      </c>
      <c r="J311" s="387">
        <v>3.743322689E9</v>
      </c>
      <c r="K311" s="18"/>
      <c r="L311" s="18"/>
    </row>
    <row r="312">
      <c r="A312" s="41">
        <v>315.0</v>
      </c>
      <c r="B312" s="41" t="s">
        <v>931</v>
      </c>
      <c r="C312" s="295" t="s">
        <v>151</v>
      </c>
      <c r="D312" s="39" t="str">
        <f t="shared" si="65"/>
        <v>15</v>
      </c>
      <c r="E312" s="42" t="str">
        <f t="shared" si="59"/>
        <v>30</v>
      </c>
      <c r="F312" s="295" t="s">
        <v>944</v>
      </c>
      <c r="G312" s="295" t="s">
        <v>53</v>
      </c>
      <c r="H312" s="39"/>
      <c r="I312" s="295">
        <v>54.0</v>
      </c>
      <c r="J312" s="387">
        <v>3.88533462E9</v>
      </c>
      <c r="K312" s="18"/>
      <c r="L312" s="18"/>
    </row>
    <row r="313" hidden="1">
      <c r="A313" s="41">
        <v>316.0</v>
      </c>
      <c r="B313" s="41" t="s">
        <v>931</v>
      </c>
      <c r="C313" s="295" t="s">
        <v>151</v>
      </c>
      <c r="D313" s="39" t="str">
        <f t="shared" si="65"/>
        <v>19</v>
      </c>
      <c r="E313" s="42" t="str">
        <f t="shared" si="59"/>
        <v>08</v>
      </c>
      <c r="F313" s="295" t="s">
        <v>945</v>
      </c>
      <c r="G313" s="295" t="s">
        <v>946</v>
      </c>
      <c r="H313" s="39"/>
      <c r="I313" s="295">
        <v>31.1</v>
      </c>
      <c r="J313" s="387">
        <v>3.24370221E9</v>
      </c>
      <c r="K313" s="18"/>
      <c r="L313" s="18"/>
    </row>
    <row r="314" hidden="1">
      <c r="A314" s="41">
        <v>317.0</v>
      </c>
      <c r="B314" s="41" t="s">
        <v>931</v>
      </c>
      <c r="C314" s="295" t="s">
        <v>151</v>
      </c>
      <c r="D314" s="39" t="str">
        <f t="shared" si="65"/>
        <v>22</v>
      </c>
      <c r="E314" s="42" t="str">
        <f t="shared" si="59"/>
        <v>01</v>
      </c>
      <c r="F314" s="295" t="s">
        <v>949</v>
      </c>
      <c r="G314" s="295" t="s">
        <v>53</v>
      </c>
      <c r="H314" s="39"/>
      <c r="I314" s="295">
        <v>58.0</v>
      </c>
      <c r="J314" s="387">
        <v>5.574417878E9</v>
      </c>
      <c r="K314" s="18"/>
      <c r="L314" s="18"/>
    </row>
    <row r="315" hidden="1">
      <c r="A315" s="41">
        <v>318.0</v>
      </c>
      <c r="B315" s="41" t="s">
        <v>931</v>
      </c>
      <c r="C315" s="295" t="s">
        <v>151</v>
      </c>
      <c r="D315" s="39" t="str">
        <f t="shared" si="65"/>
        <v>23</v>
      </c>
      <c r="E315" s="42" t="str">
        <f t="shared" si="59"/>
        <v>17</v>
      </c>
      <c r="F315" s="295" t="s">
        <v>950</v>
      </c>
      <c r="G315" s="295" t="s">
        <v>53</v>
      </c>
      <c r="H315" s="39"/>
      <c r="I315" s="295">
        <v>58.1</v>
      </c>
      <c r="J315" s="387">
        <v>4.256069962E9</v>
      </c>
      <c r="K315" s="18"/>
      <c r="L315" s="18"/>
    </row>
    <row r="316" hidden="1">
      <c r="A316" s="41">
        <v>319.0</v>
      </c>
      <c r="B316" s="41" t="s">
        <v>931</v>
      </c>
      <c r="C316" s="41" t="s">
        <v>33</v>
      </c>
      <c r="D316" s="39" t="str">
        <f t="shared" ref="D316:D317" si="66">mid(F316,2,2)</f>
        <v>06</v>
      </c>
      <c r="E316" s="42" t="str">
        <f t="shared" si="59"/>
        <v>43</v>
      </c>
      <c r="F316" s="41" t="s">
        <v>951</v>
      </c>
      <c r="G316" s="41" t="s">
        <v>53</v>
      </c>
      <c r="H316" s="39"/>
      <c r="I316" s="41" t="s">
        <v>952</v>
      </c>
      <c r="J316" s="132">
        <v>5.444038117E9</v>
      </c>
      <c r="K316" s="18"/>
      <c r="L316" s="18"/>
    </row>
    <row r="317" hidden="1">
      <c r="A317" s="41">
        <v>320.0</v>
      </c>
      <c r="B317" s="41" t="s">
        <v>931</v>
      </c>
      <c r="C317" s="41" t="s">
        <v>33</v>
      </c>
      <c r="D317" s="39" t="str">
        <f t="shared" si="66"/>
        <v>21</v>
      </c>
      <c r="E317" s="42" t="str">
        <f t="shared" si="59"/>
        <v>09</v>
      </c>
      <c r="F317" s="41" t="s">
        <v>954</v>
      </c>
      <c r="G317" s="41" t="s">
        <v>53</v>
      </c>
      <c r="H317" s="39"/>
      <c r="I317" s="41" t="s">
        <v>157</v>
      </c>
      <c r="J317" s="132">
        <v>4.795380175E9</v>
      </c>
      <c r="K317" s="18"/>
      <c r="L317" s="18"/>
    </row>
    <row r="318" hidden="1">
      <c r="A318" s="41">
        <v>321.0</v>
      </c>
      <c r="B318" s="41" t="s">
        <v>931</v>
      </c>
      <c r="C318" s="295" t="s">
        <v>51</v>
      </c>
      <c r="D318" s="39" t="str">
        <f t="shared" ref="D318:D328" si="67">mid(F318,3,2)</f>
        <v>21</v>
      </c>
      <c r="E318" s="42" t="str">
        <f>RIGHT(F318,3)</f>
        <v>03A</v>
      </c>
      <c r="F318" s="295" t="s">
        <v>955</v>
      </c>
      <c r="G318" s="295" t="s">
        <v>24</v>
      </c>
      <c r="H318" s="39"/>
      <c r="I318" s="295">
        <v>72.0</v>
      </c>
      <c r="J318" s="387">
        <v>6.274399117E9</v>
      </c>
      <c r="K318" s="18"/>
      <c r="L318" s="18"/>
    </row>
    <row r="319" hidden="1">
      <c r="A319" s="41">
        <v>322.0</v>
      </c>
      <c r="B319" s="41" t="s">
        <v>931</v>
      </c>
      <c r="C319" s="295" t="s">
        <v>51</v>
      </c>
      <c r="D319" s="39" t="str">
        <f t="shared" si="67"/>
        <v>21</v>
      </c>
      <c r="E319" s="42" t="str">
        <f>RIGHT(F319,2)</f>
        <v>23</v>
      </c>
      <c r="F319" s="295" t="s">
        <v>957</v>
      </c>
      <c r="G319" s="295" t="s">
        <v>53</v>
      </c>
      <c r="H319" s="39"/>
      <c r="I319" s="295">
        <v>54.4</v>
      </c>
      <c r="J319" s="387">
        <v>4.906485872E9</v>
      </c>
      <c r="K319" s="18"/>
      <c r="L319" s="18"/>
    </row>
    <row r="320" hidden="1">
      <c r="A320" s="41">
        <v>323.0</v>
      </c>
      <c r="B320" s="41" t="s">
        <v>931</v>
      </c>
      <c r="C320" s="295" t="s">
        <v>51</v>
      </c>
      <c r="D320" s="39" t="str">
        <f t="shared" si="67"/>
        <v>20</v>
      </c>
      <c r="E320" s="42" t="str">
        <f>RIGHT(F320,3)</f>
        <v>03A</v>
      </c>
      <c r="F320" s="295" t="s">
        <v>959</v>
      </c>
      <c r="G320" s="295" t="s">
        <v>24</v>
      </c>
      <c r="H320" s="39"/>
      <c r="I320" s="295">
        <v>72.0</v>
      </c>
      <c r="J320" s="387">
        <v>6.231328858E9</v>
      </c>
      <c r="K320" s="18"/>
      <c r="L320" s="18"/>
    </row>
    <row r="321" hidden="1">
      <c r="A321" s="41">
        <v>324.0</v>
      </c>
      <c r="B321" s="41" t="s">
        <v>931</v>
      </c>
      <c r="C321" s="295" t="s">
        <v>51</v>
      </c>
      <c r="D321" s="39" t="str">
        <f t="shared" si="67"/>
        <v>20</v>
      </c>
      <c r="E321" s="42" t="str">
        <f t="shared" ref="E321:E336" si="68">RIGHT(F321,2)</f>
        <v>23</v>
      </c>
      <c r="F321" s="295" t="s">
        <v>960</v>
      </c>
      <c r="G321" s="295" t="s">
        <v>53</v>
      </c>
      <c r="H321" s="39"/>
      <c r="I321" s="295">
        <v>54.4</v>
      </c>
      <c r="J321" s="387">
        <v>4.872800251E9</v>
      </c>
      <c r="K321" s="18"/>
      <c r="L321" s="18"/>
    </row>
    <row r="322" hidden="1">
      <c r="A322" s="41">
        <v>325.0</v>
      </c>
      <c r="B322" s="41" t="s">
        <v>931</v>
      </c>
      <c r="C322" s="295" t="s">
        <v>51</v>
      </c>
      <c r="D322" s="39" t="str">
        <f t="shared" si="67"/>
        <v>08</v>
      </c>
      <c r="E322" s="42" t="str">
        <f t="shared" si="68"/>
        <v>24</v>
      </c>
      <c r="F322" s="295" t="s">
        <v>963</v>
      </c>
      <c r="G322" s="295" t="s">
        <v>24</v>
      </c>
      <c r="H322" s="39"/>
      <c r="I322" s="295">
        <v>72.7</v>
      </c>
      <c r="J322" s="387">
        <v>5.910291186E9</v>
      </c>
      <c r="K322" s="18"/>
      <c r="L322" s="18"/>
    </row>
    <row r="323" hidden="1">
      <c r="A323" s="41">
        <v>326.0</v>
      </c>
      <c r="B323" s="41" t="s">
        <v>931</v>
      </c>
      <c r="C323" s="295" t="s">
        <v>51</v>
      </c>
      <c r="D323" s="39" t="str">
        <f t="shared" si="67"/>
        <v>05</v>
      </c>
      <c r="E323" s="42" t="str">
        <f t="shared" si="68"/>
        <v>29</v>
      </c>
      <c r="F323" s="295" t="s">
        <v>964</v>
      </c>
      <c r="G323" s="295" t="s">
        <v>53</v>
      </c>
      <c r="H323" s="39"/>
      <c r="I323" s="295">
        <v>55.0</v>
      </c>
      <c r="J323" s="387">
        <v>4.145506399E9</v>
      </c>
      <c r="K323" s="18"/>
      <c r="L323" s="18"/>
    </row>
    <row r="324" hidden="1">
      <c r="A324" s="41">
        <v>327.0</v>
      </c>
      <c r="B324" s="41" t="s">
        <v>931</v>
      </c>
      <c r="C324" s="295" t="s">
        <v>51</v>
      </c>
      <c r="D324" s="39" t="str">
        <f t="shared" si="67"/>
        <v>05</v>
      </c>
      <c r="E324" s="42" t="str">
        <f t="shared" si="68"/>
        <v>02</v>
      </c>
      <c r="F324" s="295" t="s">
        <v>965</v>
      </c>
      <c r="G324" s="295" t="s">
        <v>53</v>
      </c>
      <c r="H324" s="39"/>
      <c r="I324" s="295">
        <v>53.9</v>
      </c>
      <c r="J324" s="387">
        <v>4.534590166E9</v>
      </c>
      <c r="K324" s="18"/>
      <c r="L324" s="18"/>
    </row>
    <row r="325" hidden="1">
      <c r="A325" s="41">
        <v>328.0</v>
      </c>
      <c r="B325" s="41" t="s">
        <v>931</v>
      </c>
      <c r="C325" s="295" t="s">
        <v>51</v>
      </c>
      <c r="D325" s="39" t="str">
        <f t="shared" si="67"/>
        <v>17</v>
      </c>
      <c r="E325" s="42" t="str">
        <f t="shared" si="68"/>
        <v>05</v>
      </c>
      <c r="F325" s="295" t="s">
        <v>968</v>
      </c>
      <c r="G325" s="295" t="s">
        <v>53</v>
      </c>
      <c r="H325" s="39"/>
      <c r="I325" s="295">
        <v>53.8</v>
      </c>
      <c r="J325" s="387">
        <v>4.846719296E9</v>
      </c>
      <c r="K325" s="18"/>
      <c r="L325" s="18"/>
    </row>
    <row r="326" hidden="1">
      <c r="A326" s="41">
        <v>329.0</v>
      </c>
      <c r="B326" s="41" t="s">
        <v>931</v>
      </c>
      <c r="C326" s="295" t="s">
        <v>51</v>
      </c>
      <c r="D326" s="39" t="str">
        <f t="shared" si="67"/>
        <v>09</v>
      </c>
      <c r="E326" s="42" t="str">
        <f t="shared" si="68"/>
        <v>05</v>
      </c>
      <c r="F326" s="295" t="s">
        <v>969</v>
      </c>
      <c r="G326" s="295" t="s">
        <v>53</v>
      </c>
      <c r="H326" s="39"/>
      <c r="I326" s="295" t="s">
        <v>61</v>
      </c>
      <c r="J326" s="387">
        <v>4.572966567E9</v>
      </c>
      <c r="K326" s="18"/>
      <c r="L326" s="18"/>
    </row>
    <row r="327" hidden="1">
      <c r="A327" s="41">
        <v>330.0</v>
      </c>
      <c r="B327" s="41" t="s">
        <v>931</v>
      </c>
      <c r="C327" s="295" t="s">
        <v>51</v>
      </c>
      <c r="D327" s="39" t="str">
        <f t="shared" si="67"/>
        <v>12</v>
      </c>
      <c r="E327" s="42" t="str">
        <f t="shared" si="68"/>
        <v>30</v>
      </c>
      <c r="F327" s="295" t="s">
        <v>971</v>
      </c>
      <c r="G327" s="295" t="s">
        <v>24</v>
      </c>
      <c r="H327" s="39"/>
      <c r="I327" s="295" t="s">
        <v>69</v>
      </c>
      <c r="J327" s="387">
        <v>7.258043428E9</v>
      </c>
      <c r="K327" s="18"/>
      <c r="L327" s="18"/>
    </row>
    <row r="328" hidden="1">
      <c r="A328" s="41">
        <v>331.0</v>
      </c>
      <c r="B328" s="41" t="s">
        <v>931</v>
      </c>
      <c r="C328" s="295" t="s">
        <v>51</v>
      </c>
      <c r="D328" s="39" t="str">
        <f t="shared" si="67"/>
        <v>17</v>
      </c>
      <c r="E328" s="42" t="str">
        <f t="shared" si="68"/>
        <v>17</v>
      </c>
      <c r="F328" s="295" t="s">
        <v>1018</v>
      </c>
      <c r="G328" s="295" t="s">
        <v>24</v>
      </c>
      <c r="H328" s="39"/>
      <c r="I328" s="295" t="s">
        <v>328</v>
      </c>
      <c r="J328" s="387">
        <v>6.096003934E9</v>
      </c>
      <c r="K328" s="18"/>
      <c r="L328" s="18"/>
    </row>
    <row r="329" hidden="1">
      <c r="A329" s="41">
        <v>332.0</v>
      </c>
      <c r="B329" s="41" t="s">
        <v>973</v>
      </c>
      <c r="C329" s="41" t="s">
        <v>33</v>
      </c>
      <c r="D329" s="39" t="str">
        <f t="shared" ref="D329:D331" si="69">mid(F329,2,2)</f>
        <v>07</v>
      </c>
      <c r="E329" s="42" t="str">
        <f t="shared" si="68"/>
        <v>02</v>
      </c>
      <c r="F329" s="295" t="s">
        <v>975</v>
      </c>
      <c r="G329" s="295" t="s">
        <v>53</v>
      </c>
      <c r="H329" s="295">
        <v>58.5</v>
      </c>
      <c r="I329" s="295">
        <v>52.8</v>
      </c>
      <c r="J329" s="295" t="s">
        <v>977</v>
      </c>
      <c r="K329" s="18"/>
      <c r="L329" s="18"/>
    </row>
    <row r="330" hidden="1">
      <c r="A330" s="41">
        <v>333.0</v>
      </c>
      <c r="B330" s="41" t="s">
        <v>973</v>
      </c>
      <c r="C330" s="41" t="s">
        <v>33</v>
      </c>
      <c r="D330" s="39" t="str">
        <f t="shared" si="69"/>
        <v>22</v>
      </c>
      <c r="E330" s="42" t="str">
        <f t="shared" si="68"/>
        <v>02</v>
      </c>
      <c r="F330" s="295" t="s">
        <v>979</v>
      </c>
      <c r="G330" s="295" t="s">
        <v>53</v>
      </c>
      <c r="H330" s="295">
        <v>58.5</v>
      </c>
      <c r="I330" s="295">
        <v>52.8</v>
      </c>
      <c r="J330" s="295" t="s">
        <v>980</v>
      </c>
      <c r="K330" s="18"/>
      <c r="L330" s="18"/>
    </row>
    <row r="331" hidden="1">
      <c r="A331" s="41">
        <v>334.0</v>
      </c>
      <c r="B331" s="41" t="s">
        <v>973</v>
      </c>
      <c r="C331" s="41" t="s">
        <v>33</v>
      </c>
      <c r="D331" s="39" t="str">
        <f t="shared" si="69"/>
        <v>22</v>
      </c>
      <c r="E331" s="42" t="str">
        <f t="shared" si="68"/>
        <v>03</v>
      </c>
      <c r="F331" s="295" t="s">
        <v>981</v>
      </c>
      <c r="G331" s="295" t="s">
        <v>53</v>
      </c>
      <c r="H331" s="295">
        <v>58.5</v>
      </c>
      <c r="I331" s="295">
        <v>54.1</v>
      </c>
      <c r="J331" s="295" t="s">
        <v>982</v>
      </c>
      <c r="K331" s="18"/>
      <c r="L331" s="18"/>
    </row>
    <row r="332" hidden="1">
      <c r="A332" s="41">
        <v>335.0</v>
      </c>
      <c r="B332" s="41" t="s">
        <v>973</v>
      </c>
      <c r="C332" s="41" t="s">
        <v>33</v>
      </c>
      <c r="D332" s="39" t="str">
        <f>mid(F332,2,3)</f>
        <v>12B</v>
      </c>
      <c r="E332" s="42" t="str">
        <f t="shared" si="68"/>
        <v>45</v>
      </c>
      <c r="F332" s="295" t="s">
        <v>983</v>
      </c>
      <c r="G332" s="295" t="s">
        <v>24</v>
      </c>
      <c r="H332" s="295">
        <v>77.0</v>
      </c>
      <c r="I332" s="295">
        <v>71.1</v>
      </c>
      <c r="J332" s="295" t="s">
        <v>263</v>
      </c>
      <c r="K332" s="18"/>
      <c r="L332" s="18"/>
    </row>
    <row r="333" hidden="1">
      <c r="A333" s="41">
        <v>336.0</v>
      </c>
      <c r="B333" s="41" t="s">
        <v>973</v>
      </c>
      <c r="C333" s="295" t="s">
        <v>22</v>
      </c>
      <c r="D333" s="39" t="str">
        <f t="shared" ref="D333:D338" si="70">mid(F333,3,2)</f>
        <v>06</v>
      </c>
      <c r="E333" s="42" t="str">
        <f t="shared" si="68"/>
        <v>02</v>
      </c>
      <c r="F333" s="295" t="s">
        <v>985</v>
      </c>
      <c r="G333" s="295" t="s">
        <v>53</v>
      </c>
      <c r="H333" s="295">
        <v>59.1</v>
      </c>
      <c r="I333" s="295">
        <v>54.0</v>
      </c>
      <c r="J333" s="295" t="s">
        <v>986</v>
      </c>
      <c r="K333" s="18"/>
      <c r="L333" s="18"/>
    </row>
    <row r="334" hidden="1">
      <c r="A334" s="41">
        <v>337.0</v>
      </c>
      <c r="B334" s="41" t="s">
        <v>973</v>
      </c>
      <c r="C334" s="295" t="s">
        <v>22</v>
      </c>
      <c r="D334" s="39" t="str">
        <f t="shared" si="70"/>
        <v>06</v>
      </c>
      <c r="E334" s="42" t="str">
        <f t="shared" si="68"/>
        <v>31</v>
      </c>
      <c r="F334" s="295" t="s">
        <v>987</v>
      </c>
      <c r="G334" s="295" t="s">
        <v>53</v>
      </c>
      <c r="H334" s="295">
        <v>54.2</v>
      </c>
      <c r="I334" s="295">
        <v>50.0</v>
      </c>
      <c r="J334" s="295" t="s">
        <v>988</v>
      </c>
      <c r="K334" s="18"/>
      <c r="L334" s="18"/>
    </row>
    <row r="335" hidden="1">
      <c r="A335" s="41">
        <v>338.0</v>
      </c>
      <c r="B335" s="41" t="s">
        <v>973</v>
      </c>
      <c r="C335" s="295" t="s">
        <v>22</v>
      </c>
      <c r="D335" s="39" t="str">
        <f t="shared" si="70"/>
        <v>15</v>
      </c>
      <c r="E335" s="42" t="str">
        <f t="shared" si="68"/>
        <v>21</v>
      </c>
      <c r="F335" s="295" t="s">
        <v>23</v>
      </c>
      <c r="G335" s="295" t="s">
        <v>24</v>
      </c>
      <c r="H335" s="295">
        <v>72.5</v>
      </c>
      <c r="I335" s="295">
        <v>66.4</v>
      </c>
      <c r="J335" s="295" t="s">
        <v>989</v>
      </c>
      <c r="K335" s="18"/>
      <c r="L335" s="18"/>
    </row>
    <row r="336" hidden="1">
      <c r="A336" s="41">
        <v>339.0</v>
      </c>
      <c r="B336" s="41" t="s">
        <v>973</v>
      </c>
      <c r="C336" s="295" t="s">
        <v>22</v>
      </c>
      <c r="D336" s="39" t="str">
        <f t="shared" si="70"/>
        <v>21</v>
      </c>
      <c r="E336" s="42" t="str">
        <f t="shared" si="68"/>
        <v>24</v>
      </c>
      <c r="F336" s="295" t="s">
        <v>990</v>
      </c>
      <c r="G336" s="295" t="s">
        <v>89</v>
      </c>
      <c r="H336" s="295">
        <v>38.3</v>
      </c>
      <c r="I336" s="295">
        <v>34.5</v>
      </c>
      <c r="J336" s="295" t="s">
        <v>991</v>
      </c>
      <c r="K336" s="18"/>
      <c r="L336" s="18"/>
    </row>
    <row r="337" hidden="1">
      <c r="A337" s="41">
        <v>340.0</v>
      </c>
      <c r="B337" s="41" t="s">
        <v>973</v>
      </c>
      <c r="C337" s="295" t="s">
        <v>151</v>
      </c>
      <c r="D337" s="39" t="str">
        <f t="shared" si="70"/>
        <v>09</v>
      </c>
      <c r="E337" s="42" t="str">
        <f>RIGHT(F337,3)</f>
        <v>03A</v>
      </c>
      <c r="F337" s="295" t="s">
        <v>992</v>
      </c>
      <c r="G337" s="295" t="s">
        <v>53</v>
      </c>
      <c r="H337" s="295">
        <v>58.5</v>
      </c>
      <c r="I337" s="295">
        <v>54.3</v>
      </c>
      <c r="J337" s="295" t="s">
        <v>993</v>
      </c>
      <c r="K337" s="18"/>
      <c r="L337" s="18"/>
    </row>
    <row r="338" hidden="1">
      <c r="A338" s="41">
        <v>341.0</v>
      </c>
      <c r="B338" s="41" t="s">
        <v>973</v>
      </c>
      <c r="C338" s="295" t="s">
        <v>151</v>
      </c>
      <c r="D338" s="39" t="str">
        <f t="shared" si="70"/>
        <v>09</v>
      </c>
      <c r="E338" s="42" t="str">
        <f t="shared" ref="E338:E344" si="71">RIGHT(F338,2)</f>
        <v>05</v>
      </c>
      <c r="F338" s="295" t="s">
        <v>994</v>
      </c>
      <c r="G338" s="295" t="s">
        <v>53</v>
      </c>
      <c r="H338" s="295">
        <v>58.5</v>
      </c>
      <c r="I338" s="295">
        <v>54.1</v>
      </c>
      <c r="J338" s="295" t="s">
        <v>995</v>
      </c>
      <c r="K338" s="18"/>
      <c r="L338" s="18"/>
    </row>
    <row r="339" hidden="1">
      <c r="A339" s="41">
        <v>342.0</v>
      </c>
      <c r="B339" s="41" t="s">
        <v>973</v>
      </c>
      <c r="C339" s="295" t="s">
        <v>151</v>
      </c>
      <c r="D339" s="39" t="str">
        <f t="shared" ref="D339:D340" si="72">mid(F339,3,3)</f>
        <v>12B</v>
      </c>
      <c r="E339" s="42" t="str">
        <f t="shared" si="71"/>
        <v>33</v>
      </c>
      <c r="F339" s="295" t="s">
        <v>996</v>
      </c>
      <c r="G339" s="295" t="s">
        <v>53</v>
      </c>
      <c r="H339" s="295">
        <v>59.4</v>
      </c>
      <c r="I339" s="295">
        <v>54.5</v>
      </c>
      <c r="J339" s="295" t="s">
        <v>997</v>
      </c>
      <c r="K339" s="18"/>
      <c r="L339" s="18"/>
    </row>
    <row r="340" hidden="1">
      <c r="A340" s="41">
        <v>343.0</v>
      </c>
      <c r="B340" s="41" t="s">
        <v>973</v>
      </c>
      <c r="C340" s="295" t="s">
        <v>151</v>
      </c>
      <c r="D340" s="39" t="str">
        <f t="shared" si="72"/>
        <v>12B</v>
      </c>
      <c r="E340" s="42" t="str">
        <f t="shared" si="71"/>
        <v>34</v>
      </c>
      <c r="F340" s="295" t="s">
        <v>998</v>
      </c>
      <c r="G340" s="295" t="s">
        <v>24</v>
      </c>
      <c r="H340" s="295">
        <v>81.2</v>
      </c>
      <c r="I340" s="295">
        <v>75.3</v>
      </c>
      <c r="J340" s="295" t="s">
        <v>484</v>
      </c>
      <c r="K340" s="18"/>
      <c r="L340" s="18"/>
    </row>
    <row r="341">
      <c r="A341" s="41">
        <v>344.0</v>
      </c>
      <c r="B341" s="41" t="s">
        <v>973</v>
      </c>
      <c r="C341" s="295" t="s">
        <v>151</v>
      </c>
      <c r="D341" s="39" t="str">
        <f t="shared" ref="D341:D346" si="73">mid(F341,3,2)</f>
        <v>15</v>
      </c>
      <c r="E341" s="42" t="str">
        <f t="shared" si="71"/>
        <v>17</v>
      </c>
      <c r="F341" s="295" t="s">
        <v>999</v>
      </c>
      <c r="G341" s="295" t="s">
        <v>53</v>
      </c>
      <c r="H341" s="295">
        <v>62.6</v>
      </c>
      <c r="I341" s="295">
        <v>58.1</v>
      </c>
      <c r="J341" s="295" t="s">
        <v>1000</v>
      </c>
      <c r="K341" s="18"/>
      <c r="L341" s="18"/>
    </row>
    <row r="342" hidden="1">
      <c r="A342" s="41">
        <v>345.0</v>
      </c>
      <c r="B342" s="41" t="s">
        <v>973</v>
      </c>
      <c r="C342" s="295" t="s">
        <v>151</v>
      </c>
      <c r="D342" s="39" t="str">
        <f t="shared" si="73"/>
        <v>21</v>
      </c>
      <c r="E342" s="42" t="str">
        <f t="shared" si="71"/>
        <v>06</v>
      </c>
      <c r="F342" s="295" t="s">
        <v>1001</v>
      </c>
      <c r="G342" s="295" t="s">
        <v>53</v>
      </c>
      <c r="H342" s="295">
        <v>58.5</v>
      </c>
      <c r="I342" s="295">
        <v>54.0</v>
      </c>
      <c r="J342" s="295" t="s">
        <v>1002</v>
      </c>
      <c r="K342" s="18"/>
      <c r="L342" s="18"/>
    </row>
    <row r="343" hidden="1">
      <c r="A343" s="41">
        <v>346.0</v>
      </c>
      <c r="B343" s="41" t="s">
        <v>973</v>
      </c>
      <c r="C343" s="295" t="s">
        <v>151</v>
      </c>
      <c r="D343" s="39" t="str">
        <f t="shared" si="73"/>
        <v>21</v>
      </c>
      <c r="E343" s="42" t="str">
        <f t="shared" si="71"/>
        <v>07</v>
      </c>
      <c r="F343" s="295" t="s">
        <v>1003</v>
      </c>
      <c r="G343" s="295" t="s">
        <v>89</v>
      </c>
      <c r="H343" s="295">
        <v>34.7</v>
      </c>
      <c r="I343" s="295">
        <v>31.2</v>
      </c>
      <c r="J343" s="295" t="s">
        <v>1004</v>
      </c>
      <c r="K343" s="18"/>
      <c r="L343" s="18"/>
    </row>
    <row r="344" hidden="1">
      <c r="A344" s="41">
        <v>347.0</v>
      </c>
      <c r="B344" s="41" t="s">
        <v>973</v>
      </c>
      <c r="C344" s="295" t="s">
        <v>151</v>
      </c>
      <c r="D344" s="39" t="str">
        <f t="shared" si="73"/>
        <v>23</v>
      </c>
      <c r="E344" s="42" t="str">
        <f t="shared" si="71"/>
        <v>11</v>
      </c>
      <c r="F344" s="295" t="s">
        <v>1005</v>
      </c>
      <c r="G344" s="295" t="s">
        <v>53</v>
      </c>
      <c r="H344" s="295">
        <v>56.7</v>
      </c>
      <c r="I344" s="295">
        <v>50.9</v>
      </c>
      <c r="J344" s="295" t="s">
        <v>1006</v>
      </c>
      <c r="K344" s="18"/>
      <c r="L344" s="18"/>
    </row>
    <row r="345" hidden="1">
      <c r="A345" s="41">
        <v>348.0</v>
      </c>
      <c r="B345" s="41" t="s">
        <v>973</v>
      </c>
      <c r="C345" s="295" t="s">
        <v>151</v>
      </c>
      <c r="D345" s="39" t="str">
        <f t="shared" si="73"/>
        <v>31</v>
      </c>
      <c r="E345" s="42" t="str">
        <f>RIGHT(F345,3)</f>
        <v>12A</v>
      </c>
      <c r="F345" s="295" t="s">
        <v>1007</v>
      </c>
      <c r="G345" s="295" t="s">
        <v>53</v>
      </c>
      <c r="H345" s="295">
        <v>58.5</v>
      </c>
      <c r="I345" s="295">
        <v>53.9</v>
      </c>
      <c r="J345" s="295" t="s">
        <v>1008</v>
      </c>
      <c r="K345" s="18"/>
      <c r="L345" s="18"/>
    </row>
    <row r="346" hidden="1">
      <c r="A346" s="41">
        <v>349.0</v>
      </c>
      <c r="B346" s="41" t="s">
        <v>973</v>
      </c>
      <c r="C346" s="295" t="s">
        <v>51</v>
      </c>
      <c r="D346" s="39" t="str">
        <f t="shared" si="73"/>
        <v>06</v>
      </c>
      <c r="E346" s="42" t="str">
        <f t="shared" ref="E346:E354" si="74">RIGHT(F346,2)</f>
        <v>23</v>
      </c>
      <c r="F346" s="295" t="s">
        <v>1009</v>
      </c>
      <c r="G346" s="295" t="s">
        <v>53</v>
      </c>
      <c r="H346" s="295">
        <v>60.8</v>
      </c>
      <c r="I346" s="295">
        <v>54.4</v>
      </c>
      <c r="J346" s="295" t="s">
        <v>1010</v>
      </c>
      <c r="K346" s="18"/>
      <c r="L346" s="18"/>
    </row>
    <row r="347" hidden="1">
      <c r="A347" s="41">
        <v>350.0</v>
      </c>
      <c r="B347" s="41" t="s">
        <v>973</v>
      </c>
      <c r="C347" s="295" t="s">
        <v>51</v>
      </c>
      <c r="D347" s="39" t="str">
        <f>mid(F347,3,3)</f>
        <v>12B</v>
      </c>
      <c r="E347" s="42" t="str">
        <f t="shared" si="74"/>
        <v>24</v>
      </c>
      <c r="F347" s="295" t="s">
        <v>1011</v>
      </c>
      <c r="G347" s="295" t="s">
        <v>24</v>
      </c>
      <c r="H347" s="295">
        <v>82.2</v>
      </c>
      <c r="I347" s="295">
        <v>72.7</v>
      </c>
      <c r="J347" s="295" t="s">
        <v>657</v>
      </c>
      <c r="K347" s="18"/>
      <c r="L347" s="18"/>
    </row>
    <row r="348" hidden="1">
      <c r="A348" s="41">
        <v>351.0</v>
      </c>
      <c r="B348" s="41" t="s">
        <v>973</v>
      </c>
      <c r="C348" s="295" t="s">
        <v>51</v>
      </c>
      <c r="D348" s="39" t="str">
        <f t="shared" ref="D348:D352" si="75">mid(F348,3,2)</f>
        <v>21</v>
      </c>
      <c r="E348" s="42" t="str">
        <f t="shared" si="74"/>
        <v>03</v>
      </c>
      <c r="F348" s="295" t="s">
        <v>1012</v>
      </c>
      <c r="G348" s="295" t="s">
        <v>53</v>
      </c>
      <c r="H348" s="295">
        <v>59.2</v>
      </c>
      <c r="I348" s="295">
        <v>53.9</v>
      </c>
      <c r="J348" s="295" t="s">
        <v>1013</v>
      </c>
      <c r="K348" s="18"/>
      <c r="L348" s="18"/>
    </row>
    <row r="349" hidden="1">
      <c r="A349" s="41">
        <v>352.0</v>
      </c>
      <c r="B349" s="41" t="s">
        <v>973</v>
      </c>
      <c r="C349" s="295" t="s">
        <v>51</v>
      </c>
      <c r="D349" s="39" t="str">
        <f t="shared" si="75"/>
        <v>18</v>
      </c>
      <c r="E349" s="42" t="str">
        <f t="shared" si="74"/>
        <v>03</v>
      </c>
      <c r="F349" s="331" t="s">
        <v>1014</v>
      </c>
      <c r="G349" s="331" t="s">
        <v>53</v>
      </c>
      <c r="H349" s="331">
        <v>59.2</v>
      </c>
      <c r="I349" s="331">
        <v>53.9</v>
      </c>
      <c r="J349" s="331" t="s">
        <v>1015</v>
      </c>
      <c r="K349" s="18"/>
      <c r="L349" s="18"/>
    </row>
    <row r="350" hidden="1">
      <c r="A350" s="41">
        <v>353.0</v>
      </c>
      <c r="B350" s="41" t="s">
        <v>973</v>
      </c>
      <c r="C350" s="295" t="s">
        <v>51</v>
      </c>
      <c r="D350" s="39" t="str">
        <f t="shared" si="75"/>
        <v>19</v>
      </c>
      <c r="E350" s="42" t="str">
        <f t="shared" si="74"/>
        <v>02</v>
      </c>
      <c r="F350" s="331" t="s">
        <v>1016</v>
      </c>
      <c r="G350" s="331" t="s">
        <v>53</v>
      </c>
      <c r="H350" s="331">
        <v>59.2</v>
      </c>
      <c r="I350" s="331">
        <v>53.9</v>
      </c>
      <c r="J350" s="331" t="s">
        <v>662</v>
      </c>
      <c r="K350" s="18"/>
      <c r="L350" s="18"/>
    </row>
    <row r="351" hidden="1">
      <c r="A351" s="41">
        <v>354.0</v>
      </c>
      <c r="B351" s="41" t="s">
        <v>973</v>
      </c>
      <c r="C351" s="295" t="s">
        <v>51</v>
      </c>
      <c r="D351" s="39" t="str">
        <f t="shared" si="75"/>
        <v>18</v>
      </c>
      <c r="E351" s="42" t="str">
        <f t="shared" si="74"/>
        <v>02</v>
      </c>
      <c r="F351" s="331" t="s">
        <v>1017</v>
      </c>
      <c r="G351" s="331" t="s">
        <v>53</v>
      </c>
      <c r="H351" s="331">
        <v>59.2</v>
      </c>
      <c r="I351" s="331">
        <v>53.9</v>
      </c>
      <c r="J351" s="331" t="s">
        <v>1015</v>
      </c>
      <c r="K351" s="18"/>
      <c r="L351" s="18"/>
    </row>
    <row r="352" hidden="1">
      <c r="A352" s="41">
        <v>355.0</v>
      </c>
      <c r="B352" s="41" t="s">
        <v>973</v>
      </c>
      <c r="C352" s="295" t="s">
        <v>51</v>
      </c>
      <c r="D352" s="39" t="str">
        <f t="shared" si="75"/>
        <v>22</v>
      </c>
      <c r="E352" s="42" t="str">
        <f t="shared" si="74"/>
        <v>23</v>
      </c>
      <c r="F352" s="331" t="s">
        <v>1019</v>
      </c>
      <c r="G352" s="331" t="s">
        <v>53</v>
      </c>
      <c r="H352" s="331">
        <v>60.8</v>
      </c>
      <c r="I352" s="331">
        <v>54.4</v>
      </c>
      <c r="J352" s="331" t="s">
        <v>1020</v>
      </c>
      <c r="K352" s="18"/>
      <c r="L352" s="18"/>
    </row>
    <row r="353" hidden="1">
      <c r="A353" s="41">
        <v>356.0</v>
      </c>
      <c r="B353" s="41" t="s">
        <v>973</v>
      </c>
      <c r="C353" s="295" t="s">
        <v>51</v>
      </c>
      <c r="D353" s="39" t="str">
        <f>mid(F353,3,3)</f>
        <v>12B</v>
      </c>
      <c r="E353" s="42" t="str">
        <f t="shared" si="74"/>
        <v>05</v>
      </c>
      <c r="F353" s="331" t="s">
        <v>1021</v>
      </c>
      <c r="G353" s="331" t="s">
        <v>53</v>
      </c>
      <c r="H353" s="331">
        <v>59.0</v>
      </c>
      <c r="I353" s="331">
        <v>53.8</v>
      </c>
      <c r="J353" s="331" t="s">
        <v>1022</v>
      </c>
      <c r="K353" s="18"/>
      <c r="L353" s="18"/>
    </row>
    <row r="354" hidden="1">
      <c r="A354" s="41">
        <v>357.0</v>
      </c>
      <c r="B354" s="41" t="s">
        <v>973</v>
      </c>
      <c r="C354" s="295" t="s">
        <v>51</v>
      </c>
      <c r="D354" s="39" t="str">
        <f t="shared" ref="D354:D355" si="76">mid(F354,3,2)</f>
        <v>18</v>
      </c>
      <c r="E354" s="42" t="str">
        <f t="shared" si="74"/>
        <v>28</v>
      </c>
      <c r="F354" s="331" t="s">
        <v>1023</v>
      </c>
      <c r="G354" s="331" t="s">
        <v>24</v>
      </c>
      <c r="H354" s="331">
        <v>88.6</v>
      </c>
      <c r="I354" s="331">
        <v>80.7</v>
      </c>
      <c r="J354" s="331" t="s">
        <v>1024</v>
      </c>
      <c r="K354" s="18"/>
      <c r="L354" s="18"/>
    </row>
    <row r="355" hidden="1">
      <c r="A355" s="41">
        <v>358.0</v>
      </c>
      <c r="B355" s="41" t="s">
        <v>973</v>
      </c>
      <c r="C355" s="295" t="s">
        <v>51</v>
      </c>
      <c r="D355" s="39" t="str">
        <f t="shared" si="76"/>
        <v>22</v>
      </c>
      <c r="E355" s="42" t="str">
        <f>RIGHT(F355,3)</f>
        <v>03A</v>
      </c>
      <c r="F355" s="331" t="s">
        <v>1025</v>
      </c>
      <c r="G355" s="331" t="s">
        <v>24</v>
      </c>
      <c r="H355" s="331">
        <v>80.0</v>
      </c>
      <c r="I355" s="331">
        <v>72.0</v>
      </c>
      <c r="J355" s="331" t="s">
        <v>1026</v>
      </c>
      <c r="K355" s="18"/>
      <c r="L355" s="18"/>
    </row>
    <row r="356" hidden="1">
      <c r="A356" s="41">
        <v>359.0</v>
      </c>
      <c r="B356" s="41" t="s">
        <v>973</v>
      </c>
      <c r="C356" s="295" t="s">
        <v>51</v>
      </c>
      <c r="D356" s="39" t="str">
        <f>mid(F356,3,3)</f>
        <v>12B</v>
      </c>
      <c r="E356" s="42" t="str">
        <f>RIGHT(F356,2)</f>
        <v>30</v>
      </c>
      <c r="F356" s="331" t="s">
        <v>1027</v>
      </c>
      <c r="G356" s="331" t="s">
        <v>24</v>
      </c>
      <c r="H356" s="331">
        <v>85.3</v>
      </c>
      <c r="I356" s="331">
        <v>76.0</v>
      </c>
      <c r="J356" s="331" t="s">
        <v>1028</v>
      </c>
      <c r="K356" s="18"/>
      <c r="L356" s="18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</row>
  </sheetData>
  <autoFilter ref="$A$3:$T$356">
    <filterColumn colId="2">
      <filters>
        <filter val="O2"/>
      </filters>
    </filterColumn>
    <filterColumn colId="3">
      <filters blank="1">
        <filter val="12"/>
        <filter val="15"/>
        <filter val="3A"/>
      </filters>
    </filterColumn>
  </autoFilter>
  <mergeCells count="1">
    <mergeCell ref="C1:I1"/>
  </mergeCells>
  <hyperlinks>
    <hyperlink r:id="rId1" ref="L4"/>
    <hyperlink r:id="rId2" ref="L5"/>
    <hyperlink r:id="rId3" location="gid=192979425" ref="L6"/>
    <hyperlink r:id="rId4" ref="L75"/>
    <hyperlink r:id="rId5" ref="L76"/>
    <hyperlink r:id="rId6" ref="L77"/>
    <hyperlink r:id="rId7" ref="L78"/>
    <hyperlink r:id="rId8" ref="L79"/>
    <hyperlink r:id="rId9" ref="L80"/>
    <hyperlink r:id="rId10" ref="L81"/>
    <hyperlink r:id="rId11" ref="L82"/>
    <hyperlink r:id="rId12" ref="L83"/>
    <hyperlink r:id="rId13" ref="L84"/>
    <hyperlink r:id="rId14" ref="L85"/>
    <hyperlink r:id="rId15" ref="L86"/>
    <hyperlink r:id="rId16" ref="L87"/>
    <hyperlink r:id="rId17" ref="L88"/>
    <hyperlink r:id="rId18" ref="L89"/>
    <hyperlink r:id="rId19" ref="L90"/>
    <hyperlink r:id="rId20" ref="L91"/>
    <hyperlink r:id="rId21" ref="L92"/>
    <hyperlink r:id="rId22" ref="L93"/>
    <hyperlink r:id="rId23" ref="L94"/>
    <hyperlink r:id="rId24" ref="L95"/>
    <hyperlink r:id="rId25" ref="L96"/>
    <hyperlink r:id="rId26" ref="L97"/>
    <hyperlink r:id="rId27" ref="L98"/>
    <hyperlink r:id="rId28" ref="L99"/>
    <hyperlink r:id="rId29" ref="L100"/>
    <hyperlink r:id="rId30" ref="L101"/>
    <hyperlink r:id="rId31" ref="L102"/>
    <hyperlink r:id="rId32" ref="L103"/>
    <hyperlink r:id="rId33" ref="L104"/>
    <hyperlink r:id="rId34" ref="L105"/>
    <hyperlink r:id="rId35" ref="L106"/>
    <hyperlink r:id="rId36" ref="L107"/>
    <hyperlink r:id="rId37" ref="L108"/>
    <hyperlink r:id="rId38" ref="L109"/>
    <hyperlink r:id="rId39" ref="L110"/>
    <hyperlink r:id="rId40" ref="L111"/>
    <hyperlink r:id="rId41" ref="L112"/>
    <hyperlink r:id="rId42" ref="L113"/>
    <hyperlink r:id="rId43" ref="L114"/>
    <hyperlink r:id="rId44" ref="L115"/>
    <hyperlink r:id="rId45" ref="L116"/>
    <hyperlink r:id="rId46" ref="L117"/>
    <hyperlink r:id="rId47" ref="L118"/>
    <hyperlink r:id="rId48" ref="L119"/>
    <hyperlink r:id="rId49" ref="L120"/>
    <hyperlink r:id="rId50" ref="L121"/>
    <hyperlink r:id="rId51" ref="L122"/>
    <hyperlink r:id="rId52" ref="L123"/>
    <hyperlink r:id="rId53" ref="L124"/>
  </hyperlinks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2.25"/>
    <col customWidth="1" min="3" max="3" width="12.5"/>
    <col customWidth="1" min="4" max="4" width="21.88"/>
    <col customWidth="1" min="5" max="5" width="12.75"/>
    <col customWidth="1" min="6" max="6" width="15.75"/>
    <col customWidth="1" min="7" max="7" width="20.38"/>
    <col customWidth="1" min="8" max="8" width="20.13"/>
    <col customWidth="1" min="9" max="9" width="18.25"/>
    <col customWidth="1" min="10" max="10" width="23.88"/>
    <col customWidth="1" min="11" max="11" width="21.25"/>
    <col customWidth="1" min="12" max="12" width="13.88"/>
    <col customWidth="1" min="13" max="13" width="22.75"/>
    <col customWidth="1" min="14" max="14" width="13.13"/>
    <col customWidth="1" min="15" max="15" width="11.63"/>
    <col customWidth="1" min="16" max="16" width="9.25"/>
  </cols>
  <sheetData>
    <row r="1">
      <c r="A1" s="1"/>
      <c r="B1" s="3"/>
      <c r="C1" s="7" t="s">
        <v>0</v>
      </c>
      <c r="J1" s="3"/>
      <c r="K1" s="12"/>
      <c r="L1" s="3"/>
      <c r="M1" s="3"/>
      <c r="N1" s="3"/>
      <c r="O1" s="3"/>
      <c r="P1" s="3"/>
      <c r="Q1" s="16" t="s">
        <v>1</v>
      </c>
      <c r="R1" s="19" t="s">
        <v>2</v>
      </c>
    </row>
    <row r="2">
      <c r="A2" s="20"/>
      <c r="B2" s="3"/>
      <c r="C2" s="3"/>
      <c r="D2" s="3"/>
      <c r="E2" s="3"/>
      <c r="F2" s="3"/>
      <c r="G2" s="24"/>
      <c r="H2" s="3"/>
      <c r="I2" s="27"/>
      <c r="J2" s="24"/>
      <c r="K2" s="27"/>
      <c r="L2" s="3"/>
      <c r="M2" s="3"/>
      <c r="N2" s="3"/>
      <c r="O2" s="3"/>
      <c r="P2" s="3"/>
      <c r="Q2" s="31" t="s">
        <v>4</v>
      </c>
      <c r="R2" s="24"/>
    </row>
    <row r="3">
      <c r="A3" s="35" t="s">
        <v>5</v>
      </c>
      <c r="B3" s="38" t="s">
        <v>6</v>
      </c>
      <c r="C3" s="35" t="s">
        <v>8</v>
      </c>
      <c r="D3" s="35" t="s">
        <v>9</v>
      </c>
      <c r="E3" s="35" t="s">
        <v>11</v>
      </c>
      <c r="F3" s="35" t="s">
        <v>12</v>
      </c>
      <c r="G3" s="46" t="s">
        <v>14</v>
      </c>
      <c r="H3" s="46" t="s">
        <v>16</v>
      </c>
      <c r="I3" s="46" t="s">
        <v>17</v>
      </c>
      <c r="J3" s="46" t="s">
        <v>18</v>
      </c>
      <c r="K3" s="49" t="s">
        <v>25</v>
      </c>
      <c r="L3" s="49" t="s">
        <v>27</v>
      </c>
      <c r="M3" s="46" t="s">
        <v>28</v>
      </c>
      <c r="N3" s="46" t="s">
        <v>29</v>
      </c>
      <c r="O3" s="46" t="s">
        <v>30</v>
      </c>
      <c r="P3" s="46" t="s">
        <v>31</v>
      </c>
      <c r="Q3" s="46" t="s">
        <v>19</v>
      </c>
      <c r="R3" s="46" t="s">
        <v>20</v>
      </c>
      <c r="S3" s="37"/>
    </row>
    <row r="4">
      <c r="A4" s="56">
        <v>1.0</v>
      </c>
      <c r="B4" s="58" t="s">
        <v>21</v>
      </c>
      <c r="C4" s="60" t="s">
        <v>22</v>
      </c>
      <c r="D4" s="60">
        <v>15.0</v>
      </c>
      <c r="E4" s="60">
        <v>21.0</v>
      </c>
      <c r="F4" s="60" t="s">
        <v>23</v>
      </c>
      <c r="G4" s="62" t="s">
        <v>24</v>
      </c>
      <c r="H4" s="60">
        <v>72.5</v>
      </c>
      <c r="I4" s="60">
        <v>66.4</v>
      </c>
      <c r="J4" s="66">
        <v>6.620479109E9</v>
      </c>
      <c r="K4" s="66">
        <v>6.421864736E9</v>
      </c>
      <c r="L4" s="70" t="s">
        <v>50</v>
      </c>
      <c r="M4" s="66">
        <v>5.435787406E9</v>
      </c>
      <c r="N4" s="66">
        <v>5.690093249E9</v>
      </c>
      <c r="O4" s="66">
        <v>5.817246172E9</v>
      </c>
      <c r="P4" s="73"/>
      <c r="Q4" s="73"/>
      <c r="R4" s="79" t="s">
        <v>23</v>
      </c>
      <c r="S4" s="37"/>
    </row>
    <row r="5">
      <c r="A5" s="83">
        <v>2.0</v>
      </c>
      <c r="B5" s="58" t="s">
        <v>21</v>
      </c>
      <c r="C5" s="88" t="s">
        <v>33</v>
      </c>
      <c r="D5" s="88" t="s">
        <v>35</v>
      </c>
      <c r="E5" s="88">
        <v>39.0</v>
      </c>
      <c r="F5" s="90" t="s">
        <v>44</v>
      </c>
      <c r="G5" s="88" t="s">
        <v>24</v>
      </c>
      <c r="H5" s="88">
        <v>72.0</v>
      </c>
      <c r="I5" s="88">
        <v>66.3</v>
      </c>
      <c r="J5" s="92">
        <v>7.54125813E9</v>
      </c>
      <c r="K5" s="92">
        <v>7.315020386E9</v>
      </c>
      <c r="L5" s="94" t="s">
        <v>50</v>
      </c>
      <c r="M5" s="92">
        <v>6.191799006E9</v>
      </c>
      <c r="N5" s="92">
        <v>6.481473813E9</v>
      </c>
      <c r="O5" s="92">
        <v>6.626311217E9</v>
      </c>
      <c r="P5" s="96"/>
      <c r="Q5" s="97">
        <v>46012.0</v>
      </c>
      <c r="R5" s="102" t="s">
        <v>44</v>
      </c>
      <c r="S5" s="37"/>
    </row>
    <row r="6">
      <c r="A6" s="104">
        <v>3.0</v>
      </c>
      <c r="B6" s="58" t="s">
        <v>21</v>
      </c>
      <c r="C6" s="88" t="s">
        <v>51</v>
      </c>
      <c r="D6" s="88">
        <v>22.0</v>
      </c>
      <c r="E6" s="88">
        <v>22.0</v>
      </c>
      <c r="F6" s="90" t="s">
        <v>52</v>
      </c>
      <c r="G6" s="88" t="s">
        <v>53</v>
      </c>
      <c r="H6" s="88">
        <v>57.3</v>
      </c>
      <c r="I6" s="88">
        <v>52.1</v>
      </c>
      <c r="J6" s="92">
        <v>4.731303949E9</v>
      </c>
      <c r="K6" s="92">
        <v>4.543471182E9</v>
      </c>
      <c r="L6" s="92">
        <v>4.316297622E9</v>
      </c>
      <c r="M6" s="92">
        <v>3.647271491E9</v>
      </c>
      <c r="N6" s="111"/>
      <c r="O6" s="112"/>
      <c r="P6" s="114">
        <v>46138.0</v>
      </c>
      <c r="Q6" s="115"/>
      <c r="R6" s="102" t="s">
        <v>52</v>
      </c>
      <c r="S6" s="37"/>
    </row>
    <row r="7">
      <c r="A7" s="120"/>
      <c r="B7" s="37"/>
      <c r="C7" s="120"/>
      <c r="D7" s="120"/>
      <c r="E7" s="120"/>
      <c r="F7" s="120"/>
      <c r="G7" s="120"/>
      <c r="H7" s="122"/>
      <c r="I7" s="120"/>
      <c r="J7" s="123"/>
      <c r="K7" s="123" t="s">
        <v>88</v>
      </c>
      <c r="L7" s="120" t="s">
        <v>90</v>
      </c>
      <c r="M7" s="124" t="s">
        <v>91</v>
      </c>
      <c r="N7" s="120"/>
      <c r="O7" s="120" t="s">
        <v>92</v>
      </c>
      <c r="P7" s="120" t="s">
        <v>93</v>
      </c>
      <c r="Q7" s="125" t="s">
        <v>94</v>
      </c>
      <c r="R7" s="37"/>
      <c r="S7" s="37"/>
    </row>
    <row r="8">
      <c r="A8" s="126">
        <v>4.0</v>
      </c>
      <c r="B8" s="126" t="s">
        <v>57</v>
      </c>
      <c r="C8" s="122" t="s">
        <v>51</v>
      </c>
      <c r="D8" s="122"/>
      <c r="E8" s="122"/>
      <c r="F8" s="122" t="s">
        <v>59</v>
      </c>
      <c r="G8" s="122" t="s">
        <v>60</v>
      </c>
      <c r="H8" s="122"/>
      <c r="I8" s="127" t="s">
        <v>61</v>
      </c>
      <c r="J8" s="128">
        <v>4.36765202E9</v>
      </c>
      <c r="K8" s="128">
        <v>3.8996893035714283E9</v>
      </c>
      <c r="L8" s="127" t="s">
        <v>101</v>
      </c>
      <c r="M8" s="129">
        <v>0.03</v>
      </c>
      <c r="N8" s="129">
        <v>0.01</v>
      </c>
      <c r="O8" s="122" t="s">
        <v>70</v>
      </c>
      <c r="P8" s="122" t="s">
        <v>103</v>
      </c>
      <c r="Q8" s="130">
        <v>46153.0</v>
      </c>
      <c r="R8" s="37"/>
      <c r="S8" s="37"/>
    </row>
    <row r="9">
      <c r="A9" s="126">
        <v>5.0</v>
      </c>
      <c r="B9" s="126" t="s">
        <v>57</v>
      </c>
      <c r="C9" s="122" t="s">
        <v>51</v>
      </c>
      <c r="D9" s="122"/>
      <c r="E9" s="122"/>
      <c r="F9" s="122" t="s">
        <v>67</v>
      </c>
      <c r="G9" s="122" t="s">
        <v>68</v>
      </c>
      <c r="H9" s="122"/>
      <c r="I9" s="127" t="s">
        <v>69</v>
      </c>
      <c r="J9" s="128">
        <v>6.984285508E9</v>
      </c>
      <c r="K9" s="128">
        <v>6.235969203571428E9</v>
      </c>
      <c r="L9" s="127" t="s">
        <v>101</v>
      </c>
      <c r="M9" s="129">
        <v>0.03</v>
      </c>
      <c r="N9" s="129">
        <v>0.01</v>
      </c>
      <c r="O9" s="122" t="s">
        <v>70</v>
      </c>
      <c r="P9" s="122" t="s">
        <v>107</v>
      </c>
      <c r="Q9" s="130">
        <v>46153.0</v>
      </c>
      <c r="R9" s="37"/>
      <c r="S9" s="37"/>
    </row>
    <row r="10">
      <c r="A10" s="126">
        <v>6.0</v>
      </c>
      <c r="B10" s="126" t="s">
        <v>57</v>
      </c>
      <c r="C10" s="122" t="s">
        <v>51</v>
      </c>
      <c r="D10" s="122"/>
      <c r="E10" s="122"/>
      <c r="F10" s="122" t="s">
        <v>71</v>
      </c>
      <c r="G10" s="122" t="s">
        <v>68</v>
      </c>
      <c r="H10" s="122"/>
      <c r="I10" s="131" t="s">
        <v>72</v>
      </c>
      <c r="J10" s="128">
        <v>5.490569652E9</v>
      </c>
      <c r="K10" s="128">
        <v>4.902294332142857E9</v>
      </c>
      <c r="L10" s="127" t="s">
        <v>101</v>
      </c>
      <c r="M10" s="129">
        <v>0.03</v>
      </c>
      <c r="N10" s="129">
        <v>0.01</v>
      </c>
      <c r="O10" s="122" t="s">
        <v>70</v>
      </c>
      <c r="P10" s="122" t="s">
        <v>111</v>
      </c>
      <c r="Q10" s="130">
        <v>46149.0</v>
      </c>
      <c r="R10" s="37"/>
      <c r="S10" s="37"/>
    </row>
    <row r="11">
      <c r="A11" s="126">
        <v>7.0</v>
      </c>
      <c r="B11" s="126" t="s">
        <v>57</v>
      </c>
      <c r="C11" s="122" t="s">
        <v>51</v>
      </c>
      <c r="D11" s="122"/>
      <c r="E11" s="122"/>
      <c r="F11" s="122" t="s">
        <v>74</v>
      </c>
      <c r="G11" s="122" t="s">
        <v>60</v>
      </c>
      <c r="H11" s="122"/>
      <c r="I11" s="127" t="s">
        <v>76</v>
      </c>
      <c r="J11" s="128">
        <v>4.744484218E9</v>
      </c>
      <c r="K11" s="128">
        <v>4.2361466232142854E9</v>
      </c>
      <c r="L11" s="127" t="s">
        <v>101</v>
      </c>
      <c r="M11" s="129">
        <v>0.03</v>
      </c>
      <c r="N11" s="129">
        <v>0.01</v>
      </c>
      <c r="O11" s="122" t="s">
        <v>70</v>
      </c>
      <c r="P11" s="122" t="s">
        <v>115</v>
      </c>
      <c r="Q11" s="130">
        <v>46153.0</v>
      </c>
      <c r="R11" s="37"/>
      <c r="S11" s="37"/>
    </row>
    <row r="12">
      <c r="A12" s="126">
        <v>8.0</v>
      </c>
      <c r="B12" s="126" t="s">
        <v>57</v>
      </c>
      <c r="C12" s="122" t="s">
        <v>51</v>
      </c>
      <c r="D12" s="122"/>
      <c r="E12" s="122"/>
      <c r="F12" s="122" t="s">
        <v>78</v>
      </c>
      <c r="G12" s="122" t="s">
        <v>60</v>
      </c>
      <c r="H12" s="122"/>
      <c r="I12" s="127" t="s">
        <v>79</v>
      </c>
      <c r="J12" s="128">
        <v>4.603315288E9</v>
      </c>
      <c r="K12" s="128">
        <v>4.1101029357142854E9</v>
      </c>
      <c r="L12" s="127" t="s">
        <v>101</v>
      </c>
      <c r="M12" s="129">
        <v>0.03</v>
      </c>
      <c r="N12" s="129">
        <v>0.01</v>
      </c>
      <c r="O12" s="122" t="s">
        <v>70</v>
      </c>
      <c r="P12" s="122" t="s">
        <v>121</v>
      </c>
      <c r="Q12" s="130">
        <v>46153.0</v>
      </c>
      <c r="R12" s="37"/>
      <c r="S12" s="37"/>
    </row>
    <row r="13">
      <c r="A13" s="126">
        <v>9.0</v>
      </c>
      <c r="B13" s="126" t="s">
        <v>57</v>
      </c>
      <c r="C13" s="122" t="s">
        <v>51</v>
      </c>
      <c r="D13" s="122"/>
      <c r="E13" s="122"/>
      <c r="F13" s="122" t="s">
        <v>82</v>
      </c>
      <c r="G13" s="122" t="s">
        <v>60</v>
      </c>
      <c r="H13" s="122"/>
      <c r="I13" s="127" t="s">
        <v>61</v>
      </c>
      <c r="J13" s="128">
        <v>4.538747475E9</v>
      </c>
      <c r="K13" s="128">
        <v>4.052453102678571E9</v>
      </c>
      <c r="L13" s="127" t="s">
        <v>101</v>
      </c>
      <c r="M13" s="129">
        <v>0.03</v>
      </c>
      <c r="N13" s="129">
        <v>0.01</v>
      </c>
      <c r="O13" s="122" t="s">
        <v>70</v>
      </c>
      <c r="P13" s="122" t="s">
        <v>125</v>
      </c>
      <c r="Q13" s="130">
        <v>46153.0</v>
      </c>
      <c r="R13" s="37"/>
      <c r="S13" s="37"/>
    </row>
    <row r="14">
      <c r="A14" s="126">
        <v>10.0</v>
      </c>
      <c r="B14" s="126" t="s">
        <v>57</v>
      </c>
      <c r="C14" s="122" t="s">
        <v>51</v>
      </c>
      <c r="D14" s="122"/>
      <c r="E14" s="122"/>
      <c r="F14" s="122" t="s">
        <v>84</v>
      </c>
      <c r="G14" s="122" t="s">
        <v>68</v>
      </c>
      <c r="H14" s="122"/>
      <c r="I14" s="127" t="s">
        <v>86</v>
      </c>
      <c r="J14" s="128">
        <v>5.022858906E9</v>
      </c>
      <c r="K14" s="128">
        <v>4.484695451785714E9</v>
      </c>
      <c r="L14" s="127" t="s">
        <v>101</v>
      </c>
      <c r="M14" s="129">
        <v>0.03</v>
      </c>
      <c r="N14" s="129">
        <v>0.01</v>
      </c>
      <c r="O14" s="122" t="s">
        <v>70</v>
      </c>
      <c r="P14" s="122" t="s">
        <v>131</v>
      </c>
      <c r="Q14" s="130">
        <v>46149.0</v>
      </c>
      <c r="R14" s="37"/>
      <c r="S14" s="37"/>
    </row>
    <row r="15">
      <c r="A15" s="126">
        <v>11.0</v>
      </c>
      <c r="B15" s="126" t="s">
        <v>57</v>
      </c>
      <c r="C15" s="122" t="s">
        <v>51</v>
      </c>
      <c r="D15" s="122"/>
      <c r="E15" s="122"/>
      <c r="F15" s="122" t="s">
        <v>98</v>
      </c>
      <c r="G15" s="122" t="s">
        <v>60</v>
      </c>
      <c r="H15" s="122"/>
      <c r="I15" s="127" t="s">
        <v>99</v>
      </c>
      <c r="J15" s="128">
        <v>4.49709642E9</v>
      </c>
      <c r="K15" s="128">
        <v>4.0152646607142854E9</v>
      </c>
      <c r="L15" s="127" t="s">
        <v>101</v>
      </c>
      <c r="M15" s="129">
        <v>0.03</v>
      </c>
      <c r="N15" s="129">
        <v>0.01</v>
      </c>
      <c r="O15" s="122" t="s">
        <v>70</v>
      </c>
      <c r="P15" s="122" t="s">
        <v>136</v>
      </c>
      <c r="Q15" s="130">
        <v>46153.0</v>
      </c>
      <c r="R15" s="37"/>
      <c r="S15" s="37"/>
    </row>
    <row r="16">
      <c r="A16" s="126">
        <v>12.0</v>
      </c>
      <c r="B16" s="126" t="s">
        <v>57</v>
      </c>
      <c r="C16" s="122" t="s">
        <v>51</v>
      </c>
      <c r="D16" s="122"/>
      <c r="E16" s="122"/>
      <c r="F16" s="122" t="s">
        <v>102</v>
      </c>
      <c r="G16" s="122" t="s">
        <v>60</v>
      </c>
      <c r="H16" s="122"/>
      <c r="I16" s="127" t="s">
        <v>76</v>
      </c>
      <c r="J16" s="128">
        <v>4.989360613E9</v>
      </c>
      <c r="K16" s="128">
        <v>4.454786261607142E9</v>
      </c>
      <c r="L16" s="127" t="s">
        <v>101</v>
      </c>
      <c r="M16" s="129">
        <v>0.03</v>
      </c>
      <c r="N16" s="129">
        <v>0.01</v>
      </c>
      <c r="O16" s="122" t="s">
        <v>70</v>
      </c>
      <c r="P16" s="122" t="s">
        <v>139</v>
      </c>
      <c r="Q16" s="130">
        <v>46153.0</v>
      </c>
      <c r="R16" s="37"/>
      <c r="S16" s="37"/>
    </row>
    <row r="17">
      <c r="A17" s="126">
        <v>13.0</v>
      </c>
      <c r="B17" s="126" t="s">
        <v>57</v>
      </c>
      <c r="C17" s="122" t="s">
        <v>51</v>
      </c>
      <c r="D17" s="122"/>
      <c r="E17" s="122"/>
      <c r="F17" s="122" t="s">
        <v>105</v>
      </c>
      <c r="G17" s="122" t="s">
        <v>68</v>
      </c>
      <c r="H17" s="122"/>
      <c r="I17" s="127" t="s">
        <v>86</v>
      </c>
      <c r="J17" s="128">
        <v>5.129913454E9</v>
      </c>
      <c r="K17" s="128">
        <v>4.580279869642857E9</v>
      </c>
      <c r="L17" s="127" t="s">
        <v>101</v>
      </c>
      <c r="M17" s="129">
        <v>0.03</v>
      </c>
      <c r="N17" s="129">
        <v>0.01</v>
      </c>
      <c r="O17" s="122" t="s">
        <v>70</v>
      </c>
      <c r="P17" s="122" t="s">
        <v>142</v>
      </c>
      <c r="Q17" s="130">
        <v>46153.0</v>
      </c>
      <c r="R17" s="37"/>
      <c r="S17" s="37"/>
    </row>
    <row r="18">
      <c r="A18" s="126">
        <v>14.0</v>
      </c>
      <c r="B18" s="126" t="s">
        <v>57</v>
      </c>
      <c r="C18" s="122" t="s">
        <v>51</v>
      </c>
      <c r="D18" s="122"/>
      <c r="E18" s="122"/>
      <c r="F18" s="122" t="s">
        <v>109</v>
      </c>
      <c r="G18" s="122" t="s">
        <v>60</v>
      </c>
      <c r="H18" s="122"/>
      <c r="I18" s="127" t="s">
        <v>79</v>
      </c>
      <c r="J18" s="128">
        <v>4.839114631E9</v>
      </c>
      <c r="K18" s="128">
        <v>4.320638063392857E9</v>
      </c>
      <c r="L18" s="127" t="s">
        <v>101</v>
      </c>
      <c r="M18" s="129">
        <v>0.03</v>
      </c>
      <c r="N18" s="129">
        <v>0.01</v>
      </c>
      <c r="O18" s="122" t="s">
        <v>70</v>
      </c>
      <c r="P18" s="122" t="s">
        <v>147</v>
      </c>
      <c r="Q18" s="130">
        <v>46153.0</v>
      </c>
      <c r="R18" s="37"/>
      <c r="S18" s="37"/>
    </row>
    <row r="19">
      <c r="A19" s="126">
        <v>15.0</v>
      </c>
      <c r="B19" s="126" t="s">
        <v>57</v>
      </c>
      <c r="C19" s="122" t="s">
        <v>51</v>
      </c>
      <c r="D19" s="122"/>
      <c r="E19" s="122"/>
      <c r="F19" s="122" t="s">
        <v>112</v>
      </c>
      <c r="G19" s="122" t="s">
        <v>60</v>
      </c>
      <c r="H19" s="122"/>
      <c r="I19" s="127" t="s">
        <v>76</v>
      </c>
      <c r="J19" s="128">
        <v>5.059325298E9</v>
      </c>
      <c r="K19" s="128">
        <v>4.517254730357142E9</v>
      </c>
      <c r="L19" s="127" t="s">
        <v>101</v>
      </c>
      <c r="M19" s="129">
        <v>0.03</v>
      </c>
      <c r="N19" s="129">
        <v>0.01</v>
      </c>
      <c r="O19" s="122" t="s">
        <v>70</v>
      </c>
      <c r="P19" s="122" t="s">
        <v>152</v>
      </c>
      <c r="Q19" s="130">
        <v>46149.0</v>
      </c>
      <c r="R19" s="37"/>
      <c r="S19" s="37"/>
    </row>
    <row r="20">
      <c r="A20" s="126">
        <v>16.0</v>
      </c>
      <c r="B20" s="126" t="s">
        <v>57</v>
      </c>
      <c r="C20" s="122" t="s">
        <v>51</v>
      </c>
      <c r="D20" s="122"/>
      <c r="E20" s="122"/>
      <c r="F20" s="122" t="s">
        <v>114</v>
      </c>
      <c r="G20" s="122" t="s">
        <v>68</v>
      </c>
      <c r="H20" s="122"/>
      <c r="I20" s="127" t="s">
        <v>72</v>
      </c>
      <c r="J20" s="128">
        <v>6.032186216E9</v>
      </c>
      <c r="K20" s="128">
        <v>5.385880549999999E9</v>
      </c>
      <c r="L20" s="127" t="s">
        <v>101</v>
      </c>
      <c r="M20" s="129">
        <v>0.03</v>
      </c>
      <c r="N20" s="129">
        <v>0.01</v>
      </c>
      <c r="O20" s="122" t="s">
        <v>70</v>
      </c>
      <c r="P20" s="122" t="s">
        <v>160</v>
      </c>
      <c r="Q20" s="130">
        <v>46149.0</v>
      </c>
      <c r="R20" s="37"/>
      <c r="S20" s="37"/>
    </row>
    <row r="21">
      <c r="A21" s="126">
        <v>17.0</v>
      </c>
      <c r="B21" s="126" t="s">
        <v>57</v>
      </c>
      <c r="C21" s="122" t="s">
        <v>51</v>
      </c>
      <c r="D21" s="122"/>
      <c r="E21" s="122"/>
      <c r="F21" s="122" t="s">
        <v>118</v>
      </c>
      <c r="G21" s="122" t="s">
        <v>60</v>
      </c>
      <c r="H21" s="122"/>
      <c r="I21" s="127" t="s">
        <v>120</v>
      </c>
      <c r="J21" s="128">
        <v>4.182483543E9</v>
      </c>
      <c r="K21" s="128">
        <v>3.7343603062499995E9</v>
      </c>
      <c r="L21" s="127" t="s">
        <v>101</v>
      </c>
      <c r="M21" s="129">
        <v>0.03</v>
      </c>
      <c r="N21" s="129">
        <v>0.01</v>
      </c>
      <c r="O21" s="122" t="s">
        <v>70</v>
      </c>
      <c r="P21" s="122" t="s">
        <v>165</v>
      </c>
      <c r="Q21" s="130">
        <v>46153.0</v>
      </c>
      <c r="R21" s="37"/>
      <c r="S21" s="37"/>
    </row>
    <row r="22">
      <c r="A22" s="126">
        <v>18.0</v>
      </c>
      <c r="B22" s="126" t="s">
        <v>57</v>
      </c>
      <c r="C22" s="122" t="s">
        <v>51</v>
      </c>
      <c r="D22" s="122"/>
      <c r="E22" s="122"/>
      <c r="F22" s="122" t="s">
        <v>122</v>
      </c>
      <c r="G22" s="122" t="s">
        <v>60</v>
      </c>
      <c r="H22" s="122"/>
      <c r="I22" s="127" t="s">
        <v>76</v>
      </c>
      <c r="J22" s="128">
        <v>5.129289983E9</v>
      </c>
      <c r="K22" s="128">
        <v>4.579723199107142E9</v>
      </c>
      <c r="L22" s="127" t="s">
        <v>101</v>
      </c>
      <c r="M22" s="129">
        <v>0.03</v>
      </c>
      <c r="N22" s="129">
        <v>0.01</v>
      </c>
      <c r="O22" s="122" t="s">
        <v>70</v>
      </c>
      <c r="P22" s="122" t="s">
        <v>169</v>
      </c>
      <c r="Q22" s="130">
        <v>46153.0</v>
      </c>
      <c r="R22" s="37"/>
      <c r="S22" s="37"/>
    </row>
    <row r="23">
      <c r="A23" s="126">
        <v>19.0</v>
      </c>
      <c r="B23" s="126" t="s">
        <v>57</v>
      </c>
      <c r="C23" s="122" t="s">
        <v>51</v>
      </c>
      <c r="D23" s="122"/>
      <c r="E23" s="122"/>
      <c r="F23" s="151" t="s">
        <v>128</v>
      </c>
      <c r="G23" s="122" t="s">
        <v>60</v>
      </c>
      <c r="H23" s="122"/>
      <c r="I23" s="127" t="s">
        <v>129</v>
      </c>
      <c r="J23" s="128">
        <v>4.87660311E9</v>
      </c>
      <c r="K23" s="128">
        <v>4.354109919642857E9</v>
      </c>
      <c r="L23" s="127" t="s">
        <v>101</v>
      </c>
      <c r="M23" s="129">
        <v>0.03</v>
      </c>
      <c r="N23" s="129">
        <v>0.01</v>
      </c>
      <c r="O23" s="122" t="s">
        <v>70</v>
      </c>
      <c r="P23" s="122" t="s">
        <v>173</v>
      </c>
      <c r="Q23" s="130">
        <v>46149.0</v>
      </c>
      <c r="R23" s="37"/>
      <c r="S23" s="37"/>
    </row>
    <row r="24">
      <c r="A24" s="126">
        <v>20.0</v>
      </c>
      <c r="B24" s="126" t="s">
        <v>57</v>
      </c>
      <c r="C24" s="122" t="s">
        <v>51</v>
      </c>
      <c r="D24" s="122"/>
      <c r="E24" s="122"/>
      <c r="F24" s="151" t="s">
        <v>132</v>
      </c>
      <c r="G24" s="122" t="s">
        <v>68</v>
      </c>
      <c r="H24" s="122"/>
      <c r="I24" s="127" t="s">
        <v>133</v>
      </c>
      <c r="J24" s="128">
        <v>6.534011945E9</v>
      </c>
      <c r="K24" s="128">
        <v>5.833939236607142E9</v>
      </c>
      <c r="L24" s="127" t="s">
        <v>101</v>
      </c>
      <c r="M24" s="129">
        <v>0.03</v>
      </c>
      <c r="N24" s="129">
        <v>0.01</v>
      </c>
      <c r="O24" s="122" t="s">
        <v>70</v>
      </c>
      <c r="P24" s="122" t="s">
        <v>175</v>
      </c>
      <c r="Q24" s="130">
        <v>46153.0</v>
      </c>
      <c r="R24" s="37"/>
      <c r="S24" s="37"/>
    </row>
    <row r="25">
      <c r="A25" s="126">
        <v>21.0</v>
      </c>
      <c r="B25" s="126" t="s">
        <v>57</v>
      </c>
      <c r="C25" s="122" t="s">
        <v>51</v>
      </c>
      <c r="D25" s="122"/>
      <c r="E25" s="122"/>
      <c r="F25" s="151" t="s">
        <v>135</v>
      </c>
      <c r="G25" s="122" t="s">
        <v>68</v>
      </c>
      <c r="H25" s="122"/>
      <c r="I25" s="127" t="s">
        <v>69</v>
      </c>
      <c r="J25" s="128">
        <v>7.258043428E9</v>
      </c>
      <c r="K25" s="128">
        <v>6.480395917857142E9</v>
      </c>
      <c r="L25" s="127" t="s">
        <v>101</v>
      </c>
      <c r="M25" s="122" t="s">
        <v>70</v>
      </c>
      <c r="N25" s="122" t="s">
        <v>70</v>
      </c>
      <c r="O25" s="122" t="s">
        <v>179</v>
      </c>
      <c r="P25" s="122"/>
      <c r="Q25" s="122"/>
      <c r="R25" s="37"/>
      <c r="S25" s="37"/>
    </row>
    <row r="26">
      <c r="A26" s="126">
        <v>22.0</v>
      </c>
      <c r="B26" s="126" t="s">
        <v>57</v>
      </c>
      <c r="C26" s="122" t="s">
        <v>51</v>
      </c>
      <c r="D26" s="122"/>
      <c r="E26" s="122"/>
      <c r="F26" s="151" t="s">
        <v>137</v>
      </c>
      <c r="G26" s="122" t="s">
        <v>60</v>
      </c>
      <c r="H26" s="122"/>
      <c r="I26" s="127" t="s">
        <v>120</v>
      </c>
      <c r="J26" s="128">
        <v>4.06766877E9</v>
      </c>
      <c r="K26" s="128">
        <v>3.6318471160714283E9</v>
      </c>
      <c r="L26" s="127" t="s">
        <v>101</v>
      </c>
      <c r="M26" s="122" t="s">
        <v>70</v>
      </c>
      <c r="N26" s="122" t="s">
        <v>70</v>
      </c>
      <c r="O26" s="122" t="s">
        <v>184</v>
      </c>
      <c r="P26" s="122"/>
      <c r="Q26" s="122"/>
      <c r="R26" s="37"/>
      <c r="S26" s="37"/>
    </row>
    <row r="27">
      <c r="A27" s="126">
        <v>23.0</v>
      </c>
      <c r="B27" s="126" t="s">
        <v>57</v>
      </c>
      <c r="C27" s="122" t="s">
        <v>51</v>
      </c>
      <c r="D27" s="122"/>
      <c r="E27" s="122"/>
      <c r="F27" s="151" t="s">
        <v>141</v>
      </c>
      <c r="G27" s="122" t="s">
        <v>68</v>
      </c>
      <c r="H27" s="122"/>
      <c r="I27" s="127" t="s">
        <v>133</v>
      </c>
      <c r="J27" s="128">
        <v>6.489460462E9</v>
      </c>
      <c r="K27" s="128">
        <v>5.794161126785714E9</v>
      </c>
      <c r="L27" s="127" t="s">
        <v>101</v>
      </c>
      <c r="M27" s="122" t="s">
        <v>70</v>
      </c>
      <c r="N27" s="122" t="s">
        <v>70</v>
      </c>
      <c r="O27" s="122" t="s">
        <v>179</v>
      </c>
      <c r="P27" s="122"/>
      <c r="Q27" s="122"/>
      <c r="R27" s="37"/>
      <c r="S27" s="37"/>
    </row>
    <row r="28">
      <c r="A28" s="126">
        <v>24.0</v>
      </c>
      <c r="B28" s="126" t="s">
        <v>57</v>
      </c>
      <c r="C28" s="122" t="s">
        <v>22</v>
      </c>
      <c r="D28" s="122"/>
      <c r="E28" s="122"/>
      <c r="F28" s="151" t="s">
        <v>143</v>
      </c>
      <c r="G28" s="127" t="s">
        <v>60</v>
      </c>
      <c r="H28" s="122"/>
      <c r="I28" s="127" t="s">
        <v>145</v>
      </c>
      <c r="J28" s="128">
        <v>5.2401985E9</v>
      </c>
      <c r="K28" s="128">
        <v>4.678748660714285E9</v>
      </c>
      <c r="L28" s="127" t="s">
        <v>101</v>
      </c>
      <c r="M28" s="122" t="s">
        <v>70</v>
      </c>
      <c r="N28" s="122" t="s">
        <v>184</v>
      </c>
      <c r="O28" s="122"/>
      <c r="P28" s="122"/>
      <c r="Q28" s="122" t="s">
        <v>95</v>
      </c>
      <c r="R28" s="37"/>
      <c r="S28" s="37"/>
    </row>
    <row r="29">
      <c r="A29" s="126">
        <v>25.0</v>
      </c>
      <c r="B29" s="126" t="s">
        <v>57</v>
      </c>
      <c r="C29" s="122" t="s">
        <v>22</v>
      </c>
      <c r="D29" s="122"/>
      <c r="E29" s="122"/>
      <c r="F29" s="151" t="s">
        <v>148</v>
      </c>
      <c r="G29" s="127" t="s">
        <v>60</v>
      </c>
      <c r="H29" s="122"/>
      <c r="I29" s="127" t="s">
        <v>149</v>
      </c>
      <c r="J29" s="128">
        <v>3.922948118E9</v>
      </c>
      <c r="K29" s="128">
        <v>3.5026322482142854E9</v>
      </c>
      <c r="L29" s="127" t="s">
        <v>101</v>
      </c>
      <c r="M29" s="122" t="s">
        <v>70</v>
      </c>
      <c r="N29" s="122" t="s">
        <v>184</v>
      </c>
      <c r="O29" s="122"/>
      <c r="P29" s="122"/>
      <c r="Q29" s="122" t="s">
        <v>95</v>
      </c>
      <c r="R29" s="37"/>
      <c r="S29" s="37"/>
    </row>
    <row r="30">
      <c r="A30" s="126">
        <v>26.0</v>
      </c>
      <c r="B30" s="126" t="s">
        <v>57</v>
      </c>
      <c r="C30" s="122" t="s">
        <v>151</v>
      </c>
      <c r="D30" s="122"/>
      <c r="E30" s="122"/>
      <c r="F30" s="151" t="s">
        <v>153</v>
      </c>
      <c r="G30" s="127" t="s">
        <v>89</v>
      </c>
      <c r="H30" s="122"/>
      <c r="I30" s="127" t="s">
        <v>155</v>
      </c>
      <c r="J30" s="128">
        <v>2.922226864E9</v>
      </c>
      <c r="K30" s="128">
        <v>2.6091311285714283E9</v>
      </c>
      <c r="L30" s="128" t="s">
        <v>101</v>
      </c>
      <c r="M30" s="129">
        <v>0.03</v>
      </c>
      <c r="N30" s="122" t="s">
        <v>70</v>
      </c>
      <c r="O30" s="122" t="s">
        <v>198</v>
      </c>
      <c r="P30" s="130">
        <v>46087.0</v>
      </c>
      <c r="Q30" s="122" t="s">
        <v>108</v>
      </c>
      <c r="R30" s="37"/>
      <c r="S30" s="37"/>
    </row>
    <row r="31">
      <c r="A31" s="126">
        <v>27.0</v>
      </c>
      <c r="B31" s="126" t="s">
        <v>57</v>
      </c>
      <c r="C31" s="128" t="s">
        <v>151</v>
      </c>
      <c r="D31" s="128"/>
      <c r="E31" s="122"/>
      <c r="F31" s="151" t="s">
        <v>159</v>
      </c>
      <c r="G31" s="127" t="s">
        <v>60</v>
      </c>
      <c r="H31" s="122"/>
      <c r="I31" s="127" t="s">
        <v>161</v>
      </c>
      <c r="J31" s="128">
        <v>3.616903956E9</v>
      </c>
      <c r="K31" s="128">
        <v>3.2293785321428566E9</v>
      </c>
      <c r="L31" s="128" t="s">
        <v>101</v>
      </c>
      <c r="M31" s="129">
        <v>0.03</v>
      </c>
      <c r="N31" s="122" t="s">
        <v>70</v>
      </c>
      <c r="O31" s="122" t="s">
        <v>203</v>
      </c>
      <c r="P31" s="130">
        <v>46112.0</v>
      </c>
      <c r="Q31" s="122" t="s">
        <v>108</v>
      </c>
      <c r="R31" s="37"/>
      <c r="S31" s="37"/>
    </row>
    <row r="32">
      <c r="A32" s="126">
        <v>28.0</v>
      </c>
      <c r="B32" s="126" t="s">
        <v>57</v>
      </c>
      <c r="C32" s="122" t="s">
        <v>151</v>
      </c>
      <c r="D32" s="122"/>
      <c r="E32" s="122"/>
      <c r="F32" s="151" t="s">
        <v>206</v>
      </c>
      <c r="G32" s="127" t="s">
        <v>60</v>
      </c>
      <c r="H32" s="122"/>
      <c r="I32" s="127" t="s">
        <v>191</v>
      </c>
      <c r="J32" s="128">
        <v>3.752743351E9</v>
      </c>
      <c r="K32" s="128">
        <v>3.3506637062499995E9</v>
      </c>
      <c r="L32" s="128" t="s">
        <v>1</v>
      </c>
      <c r="M32" s="129">
        <v>0.03</v>
      </c>
      <c r="N32" s="122" t="s">
        <v>70</v>
      </c>
      <c r="O32" s="122" t="s">
        <v>208</v>
      </c>
      <c r="P32" s="130">
        <v>46112.0</v>
      </c>
      <c r="Q32" s="122" t="s">
        <v>108</v>
      </c>
      <c r="R32" s="37"/>
      <c r="S32" s="37"/>
    </row>
    <row r="33">
      <c r="A33" s="126">
        <v>29.0</v>
      </c>
      <c r="B33" s="126" t="s">
        <v>57</v>
      </c>
      <c r="C33" s="122" t="s">
        <v>151</v>
      </c>
      <c r="D33" s="122"/>
      <c r="E33" s="122"/>
      <c r="F33" s="151" t="s">
        <v>163</v>
      </c>
      <c r="G33" s="127" t="s">
        <v>60</v>
      </c>
      <c r="H33" s="122"/>
      <c r="I33" s="127" t="s">
        <v>164</v>
      </c>
      <c r="J33" s="128">
        <v>3.36251764E9</v>
      </c>
      <c r="K33" s="128">
        <v>3.0022478928571424E9</v>
      </c>
      <c r="L33" s="128" t="s">
        <v>101</v>
      </c>
      <c r="M33" s="129">
        <v>0.03</v>
      </c>
      <c r="N33" s="122" t="s">
        <v>70</v>
      </c>
      <c r="O33" s="122" t="s">
        <v>212</v>
      </c>
      <c r="P33" s="130">
        <v>46112.0</v>
      </c>
      <c r="Q33" s="122" t="s">
        <v>95</v>
      </c>
      <c r="R33" s="37"/>
      <c r="S33" s="37"/>
    </row>
    <row r="34">
      <c r="A34" s="126">
        <v>30.0</v>
      </c>
      <c r="B34" s="126" t="s">
        <v>57</v>
      </c>
      <c r="C34" s="122" t="s">
        <v>151</v>
      </c>
      <c r="D34" s="122"/>
      <c r="E34" s="122"/>
      <c r="F34" s="151" t="s">
        <v>166</v>
      </c>
      <c r="G34" s="127" t="s">
        <v>89</v>
      </c>
      <c r="H34" s="122"/>
      <c r="I34" s="127" t="s">
        <v>155</v>
      </c>
      <c r="J34" s="128">
        <v>2.966991906E9</v>
      </c>
      <c r="K34" s="128">
        <v>2.6490999160714283E9</v>
      </c>
      <c r="L34" s="128" t="s">
        <v>101</v>
      </c>
      <c r="M34" s="129">
        <v>0.03</v>
      </c>
      <c r="N34" s="122" t="s">
        <v>70</v>
      </c>
      <c r="O34" s="122" t="s">
        <v>214</v>
      </c>
      <c r="P34" s="130">
        <v>46112.0</v>
      </c>
      <c r="Q34" s="122" t="s">
        <v>95</v>
      </c>
      <c r="R34" s="37"/>
      <c r="S34" s="37"/>
    </row>
    <row r="35">
      <c r="A35" s="126">
        <v>31.0</v>
      </c>
      <c r="B35" s="126" t="s">
        <v>57</v>
      </c>
      <c r="C35" s="128" t="s">
        <v>151</v>
      </c>
      <c r="D35" s="128"/>
      <c r="E35" s="122"/>
      <c r="F35" s="151" t="s">
        <v>168</v>
      </c>
      <c r="G35" s="127" t="s">
        <v>60</v>
      </c>
      <c r="H35" s="122"/>
      <c r="I35" s="127">
        <v>522.0</v>
      </c>
      <c r="J35" s="128">
        <v>3.539724005E9</v>
      </c>
      <c r="K35" s="128">
        <v>3.1604678616071424E9</v>
      </c>
      <c r="L35" s="128" t="s">
        <v>101</v>
      </c>
      <c r="M35" s="129">
        <v>0.03</v>
      </c>
      <c r="N35" s="122" t="s">
        <v>70</v>
      </c>
      <c r="O35" s="122" t="s">
        <v>217</v>
      </c>
      <c r="P35" s="130">
        <v>46112.0</v>
      </c>
      <c r="Q35" s="122" t="s">
        <v>95</v>
      </c>
      <c r="R35" s="37"/>
      <c r="S35" s="37"/>
    </row>
    <row r="36">
      <c r="A36" s="126">
        <v>32.0</v>
      </c>
      <c r="B36" s="126" t="s">
        <v>57</v>
      </c>
      <c r="C36" s="122" t="s">
        <v>151</v>
      </c>
      <c r="D36" s="122"/>
      <c r="E36" s="122"/>
      <c r="F36" s="151" t="s">
        <v>172</v>
      </c>
      <c r="G36" s="127" t="s">
        <v>60</v>
      </c>
      <c r="H36" s="122"/>
      <c r="I36" s="127" t="s">
        <v>76</v>
      </c>
      <c r="J36" s="128">
        <v>3.765666894E9</v>
      </c>
      <c r="K36" s="128">
        <v>3.362202583928571E9</v>
      </c>
      <c r="L36" s="128" t="s">
        <v>101</v>
      </c>
      <c r="M36" s="129">
        <v>0.03</v>
      </c>
      <c r="N36" s="122" t="s">
        <v>70</v>
      </c>
      <c r="O36" s="122" t="s">
        <v>221</v>
      </c>
      <c r="P36" s="130">
        <v>46112.0</v>
      </c>
      <c r="Q36" s="122" t="s">
        <v>95</v>
      </c>
      <c r="R36" s="37"/>
      <c r="S36" s="37"/>
    </row>
    <row r="37">
      <c r="A37" s="126">
        <v>33.0</v>
      </c>
      <c r="B37" s="126" t="s">
        <v>57</v>
      </c>
      <c r="C37" s="122" t="s">
        <v>151</v>
      </c>
      <c r="D37" s="122"/>
      <c r="E37" s="122"/>
      <c r="F37" s="151" t="s">
        <v>174</v>
      </c>
      <c r="G37" s="127" t="s">
        <v>60</v>
      </c>
      <c r="H37" s="122"/>
      <c r="I37" s="127" t="s">
        <v>157</v>
      </c>
      <c r="J37" s="128">
        <v>3.918796936E9</v>
      </c>
      <c r="K37" s="128">
        <v>3.4989258357142854E9</v>
      </c>
      <c r="L37" s="128" t="s">
        <v>101</v>
      </c>
      <c r="M37" s="129">
        <v>0.03</v>
      </c>
      <c r="N37" s="122" t="s">
        <v>70</v>
      </c>
      <c r="O37" s="122" t="s">
        <v>224</v>
      </c>
      <c r="P37" s="130">
        <v>46112.0</v>
      </c>
      <c r="Q37" s="122" t="s">
        <v>95</v>
      </c>
      <c r="R37" s="37"/>
      <c r="S37" s="37"/>
    </row>
    <row r="38">
      <c r="A38" s="126">
        <v>34.0</v>
      </c>
      <c r="B38" s="126" t="s">
        <v>57</v>
      </c>
      <c r="C38" s="122" t="s">
        <v>151</v>
      </c>
      <c r="D38" s="122"/>
      <c r="E38" s="122"/>
      <c r="F38" s="151" t="s">
        <v>176</v>
      </c>
      <c r="G38" s="127" t="s">
        <v>60</v>
      </c>
      <c r="H38" s="122"/>
      <c r="I38" s="127" t="s">
        <v>76</v>
      </c>
      <c r="J38" s="128">
        <v>3.792033612E9</v>
      </c>
      <c r="K38" s="128">
        <v>3.385744296428571E9</v>
      </c>
      <c r="L38" s="128" t="s">
        <v>101</v>
      </c>
      <c r="M38" s="129">
        <v>0.03</v>
      </c>
      <c r="N38" s="122" t="s">
        <v>70</v>
      </c>
      <c r="O38" s="122" t="s">
        <v>226</v>
      </c>
      <c r="P38" s="130">
        <v>46112.0</v>
      </c>
      <c r="Q38" s="122" t="s">
        <v>95</v>
      </c>
      <c r="R38" s="37"/>
      <c r="S38" s="37"/>
    </row>
    <row r="39">
      <c r="A39" s="126">
        <v>35.0</v>
      </c>
      <c r="B39" s="126" t="s">
        <v>57</v>
      </c>
      <c r="C39" s="128" t="s">
        <v>151</v>
      </c>
      <c r="D39" s="128"/>
      <c r="E39" s="128"/>
      <c r="F39" s="151" t="s">
        <v>182</v>
      </c>
      <c r="G39" s="127" t="s">
        <v>89</v>
      </c>
      <c r="H39" s="122"/>
      <c r="I39" s="127" t="s">
        <v>183</v>
      </c>
      <c r="J39" s="128">
        <v>3.136661351E9</v>
      </c>
      <c r="K39" s="128">
        <v>2.8005904919642854E9</v>
      </c>
      <c r="L39" s="128" t="s">
        <v>101</v>
      </c>
      <c r="M39" s="129">
        <v>0.03</v>
      </c>
      <c r="N39" s="122" t="s">
        <v>70</v>
      </c>
      <c r="O39" s="122" t="s">
        <v>229</v>
      </c>
      <c r="P39" s="130">
        <v>46112.0</v>
      </c>
      <c r="Q39" s="122" t="s">
        <v>108</v>
      </c>
      <c r="R39" s="37"/>
      <c r="S39" s="37"/>
    </row>
    <row r="40">
      <c r="A40" s="126">
        <v>36.0</v>
      </c>
      <c r="B40" s="126" t="s">
        <v>57</v>
      </c>
      <c r="C40" s="128" t="s">
        <v>151</v>
      </c>
      <c r="D40" s="128"/>
      <c r="E40" s="122"/>
      <c r="F40" s="151" t="s">
        <v>185</v>
      </c>
      <c r="G40" s="127" t="s">
        <v>60</v>
      </c>
      <c r="H40" s="122"/>
      <c r="I40" s="127" t="s">
        <v>186</v>
      </c>
      <c r="J40" s="128">
        <v>3.476254699E9</v>
      </c>
      <c r="K40" s="128">
        <v>3.103798838392857E9</v>
      </c>
      <c r="L40" s="128" t="s">
        <v>101</v>
      </c>
      <c r="M40" s="129">
        <v>0.03</v>
      </c>
      <c r="N40" s="122" t="s">
        <v>70</v>
      </c>
      <c r="O40" s="122" t="s">
        <v>234</v>
      </c>
      <c r="P40" s="130">
        <v>46112.0</v>
      </c>
      <c r="Q40" s="122" t="s">
        <v>95</v>
      </c>
      <c r="R40" s="37"/>
      <c r="S40" s="37"/>
    </row>
    <row r="41">
      <c r="A41" s="126">
        <v>37.0</v>
      </c>
      <c r="B41" s="126" t="s">
        <v>57</v>
      </c>
      <c r="C41" s="128" t="s">
        <v>151</v>
      </c>
      <c r="D41" s="128"/>
      <c r="E41" s="128"/>
      <c r="F41" s="151" t="s">
        <v>189</v>
      </c>
      <c r="G41" s="127" t="s">
        <v>60</v>
      </c>
      <c r="H41" s="122"/>
      <c r="I41" s="127" t="s">
        <v>186</v>
      </c>
      <c r="J41" s="128">
        <v>3.524252804E9</v>
      </c>
      <c r="K41" s="128">
        <v>3.146654289285714E9</v>
      </c>
      <c r="L41" s="128" t="s">
        <v>101</v>
      </c>
      <c r="M41" s="129">
        <v>0.03</v>
      </c>
      <c r="N41" s="122" t="s">
        <v>70</v>
      </c>
      <c r="O41" s="122" t="s">
        <v>237</v>
      </c>
      <c r="P41" s="130">
        <v>46087.0</v>
      </c>
      <c r="Q41" s="122" t="s">
        <v>108</v>
      </c>
      <c r="R41" s="37"/>
      <c r="S41" s="37"/>
    </row>
    <row r="42">
      <c r="A42" s="126">
        <v>38.0</v>
      </c>
      <c r="B42" s="126" t="s">
        <v>57</v>
      </c>
      <c r="C42" s="122" t="s">
        <v>151</v>
      </c>
      <c r="D42" s="122"/>
      <c r="E42" s="122"/>
      <c r="F42" s="122" t="s">
        <v>192</v>
      </c>
      <c r="G42" s="122" t="s">
        <v>60</v>
      </c>
      <c r="H42" s="122"/>
      <c r="I42" s="127" t="s">
        <v>161</v>
      </c>
      <c r="J42" s="128">
        <v>3.982694985E9</v>
      </c>
      <c r="K42" s="128">
        <v>3.555977665178571E9</v>
      </c>
      <c r="L42" s="127" t="s">
        <v>101</v>
      </c>
      <c r="M42" s="129">
        <v>0.03</v>
      </c>
      <c r="N42" s="122" t="s">
        <v>70</v>
      </c>
      <c r="O42" s="122" t="s">
        <v>243</v>
      </c>
      <c r="P42" s="130">
        <v>46112.0</v>
      </c>
      <c r="Q42" s="122" t="s">
        <v>108</v>
      </c>
      <c r="R42" s="37"/>
      <c r="S42" s="37"/>
    </row>
    <row r="43">
      <c r="A43" s="126">
        <v>39.0</v>
      </c>
      <c r="B43" s="126" t="s">
        <v>57</v>
      </c>
      <c r="C43" s="122" t="s">
        <v>151</v>
      </c>
      <c r="D43" s="122"/>
      <c r="E43" s="122"/>
      <c r="F43" s="122" t="s">
        <v>193</v>
      </c>
      <c r="G43" s="122" t="s">
        <v>60</v>
      </c>
      <c r="H43" s="122"/>
      <c r="I43" s="127" t="s">
        <v>164</v>
      </c>
      <c r="J43" s="128">
        <v>3.572250909E9</v>
      </c>
      <c r="K43" s="128">
        <v>3.189509740178571E9</v>
      </c>
      <c r="L43" s="127" t="s">
        <v>101</v>
      </c>
      <c r="M43" s="129">
        <v>0.03</v>
      </c>
      <c r="N43" s="122" t="s">
        <v>70</v>
      </c>
      <c r="O43" s="122" t="s">
        <v>246</v>
      </c>
      <c r="P43" s="130">
        <v>46112.0</v>
      </c>
      <c r="Q43" s="122" t="s">
        <v>108</v>
      </c>
      <c r="R43" s="37"/>
      <c r="S43" s="37"/>
    </row>
    <row r="44">
      <c r="A44" s="126">
        <v>40.0</v>
      </c>
      <c r="B44" s="126" t="s">
        <v>57</v>
      </c>
      <c r="C44" s="122" t="s">
        <v>151</v>
      </c>
      <c r="D44" s="122"/>
      <c r="E44" s="122"/>
      <c r="F44" s="122" t="s">
        <v>196</v>
      </c>
      <c r="G44" s="122" t="s">
        <v>60</v>
      </c>
      <c r="H44" s="122"/>
      <c r="I44" s="127" t="s">
        <v>197</v>
      </c>
      <c r="J44" s="128">
        <v>4.673502701E9</v>
      </c>
      <c r="K44" s="128">
        <v>4.1727702687499995E9</v>
      </c>
      <c r="L44" s="127" t="s">
        <v>101</v>
      </c>
      <c r="M44" s="122" t="s">
        <v>70</v>
      </c>
      <c r="N44" s="122" t="s">
        <v>184</v>
      </c>
      <c r="O44" s="122"/>
      <c r="P44" s="122"/>
      <c r="Q44" s="122" t="s">
        <v>108</v>
      </c>
      <c r="R44" s="37"/>
      <c r="S44" s="37"/>
    </row>
    <row r="45">
      <c r="A45" s="126">
        <v>41.0</v>
      </c>
      <c r="B45" s="126" t="s">
        <v>57</v>
      </c>
      <c r="C45" s="122" t="s">
        <v>151</v>
      </c>
      <c r="D45" s="122"/>
      <c r="E45" s="122"/>
      <c r="F45" s="122" t="s">
        <v>201</v>
      </c>
      <c r="G45" s="122" t="s">
        <v>68</v>
      </c>
      <c r="H45" s="122"/>
      <c r="I45" s="127" t="s">
        <v>202</v>
      </c>
      <c r="J45" s="128">
        <v>6.71033598E9</v>
      </c>
      <c r="K45" s="128">
        <v>5.991371410714285E9</v>
      </c>
      <c r="L45" s="127" t="s">
        <v>101</v>
      </c>
      <c r="M45" s="122" t="s">
        <v>70</v>
      </c>
      <c r="N45" s="122" t="s">
        <v>179</v>
      </c>
      <c r="O45" s="122"/>
      <c r="P45" s="122"/>
      <c r="Q45" s="122" t="s">
        <v>108</v>
      </c>
      <c r="R45" s="37"/>
      <c r="S45" s="37"/>
    </row>
    <row r="46">
      <c r="A46" s="126">
        <v>42.0</v>
      </c>
      <c r="B46" s="126" t="s">
        <v>57</v>
      </c>
      <c r="C46" s="122" t="s">
        <v>151</v>
      </c>
      <c r="D46" s="122"/>
      <c r="E46" s="122"/>
      <c r="F46" s="122" t="s">
        <v>205</v>
      </c>
      <c r="G46" s="122" t="s">
        <v>60</v>
      </c>
      <c r="H46" s="122"/>
      <c r="I46" s="127" t="s">
        <v>190</v>
      </c>
      <c r="J46" s="128">
        <v>5.19422018E9</v>
      </c>
      <c r="K46" s="128">
        <v>4.637696589285714E9</v>
      </c>
      <c r="L46" s="127" t="s">
        <v>101</v>
      </c>
      <c r="M46" s="122" t="s">
        <v>70</v>
      </c>
      <c r="N46" s="122" t="s">
        <v>184</v>
      </c>
      <c r="O46" s="122"/>
      <c r="P46" s="122"/>
      <c r="Q46" s="122" t="s">
        <v>108</v>
      </c>
      <c r="R46" s="37"/>
      <c r="S46" s="37"/>
    </row>
    <row r="47">
      <c r="A47" s="126">
        <v>43.0</v>
      </c>
      <c r="B47" s="126" t="s">
        <v>57</v>
      </c>
      <c r="C47" s="122" t="s">
        <v>151</v>
      </c>
      <c r="D47" s="122"/>
      <c r="E47" s="122"/>
      <c r="F47" s="122" t="s">
        <v>207</v>
      </c>
      <c r="G47" s="122" t="s">
        <v>60</v>
      </c>
      <c r="H47" s="122"/>
      <c r="I47" s="127" t="s">
        <v>209</v>
      </c>
      <c r="J47" s="128">
        <v>5.203175731E9</v>
      </c>
      <c r="K47" s="128">
        <v>4.645692616964285E9</v>
      </c>
      <c r="L47" s="127" t="s">
        <v>101</v>
      </c>
      <c r="M47" s="122" t="s">
        <v>70</v>
      </c>
      <c r="N47" s="122" t="s">
        <v>184</v>
      </c>
      <c r="O47" s="122"/>
      <c r="P47" s="122"/>
      <c r="Q47" s="122" t="s">
        <v>108</v>
      </c>
      <c r="R47" s="37"/>
      <c r="S47" s="37"/>
    </row>
    <row r="48">
      <c r="A48" s="126">
        <v>44.0</v>
      </c>
      <c r="B48" s="126" t="s">
        <v>57</v>
      </c>
      <c r="C48" s="122" t="s">
        <v>151</v>
      </c>
      <c r="D48" s="122"/>
      <c r="E48" s="122"/>
      <c r="F48" s="122" t="s">
        <v>210</v>
      </c>
      <c r="G48" s="122" t="s">
        <v>60</v>
      </c>
      <c r="H48" s="122"/>
      <c r="I48" s="127" t="s">
        <v>209</v>
      </c>
      <c r="J48" s="128">
        <v>4.083314945E9</v>
      </c>
      <c r="K48" s="128">
        <v>3.645816915178571E9</v>
      </c>
      <c r="L48" s="127" t="s">
        <v>101</v>
      </c>
      <c r="M48" s="122" t="s">
        <v>70</v>
      </c>
      <c r="N48" s="122" t="s">
        <v>184</v>
      </c>
      <c r="O48" s="122"/>
      <c r="P48" s="122"/>
      <c r="Q48" s="122" t="s">
        <v>108</v>
      </c>
      <c r="R48" s="37"/>
      <c r="S48" s="37"/>
    </row>
    <row r="49">
      <c r="A49" s="126">
        <v>45.0</v>
      </c>
      <c r="B49" s="126" t="s">
        <v>57</v>
      </c>
      <c r="C49" s="122" t="s">
        <v>151</v>
      </c>
      <c r="D49" s="122"/>
      <c r="E49" s="122"/>
      <c r="F49" s="122" t="s">
        <v>213</v>
      </c>
      <c r="G49" s="122" t="s">
        <v>68</v>
      </c>
      <c r="H49" s="122"/>
      <c r="I49" s="127" t="s">
        <v>202</v>
      </c>
      <c r="J49" s="128">
        <v>7.112127599E9</v>
      </c>
      <c r="K49" s="128">
        <v>6.350113927678571E9</v>
      </c>
      <c r="L49" s="127" t="s">
        <v>101</v>
      </c>
      <c r="M49" s="122" t="s">
        <v>70</v>
      </c>
      <c r="N49" s="122" t="s">
        <v>179</v>
      </c>
      <c r="O49" s="122"/>
      <c r="P49" s="122"/>
      <c r="Q49" s="122" t="s">
        <v>108</v>
      </c>
      <c r="R49" s="37"/>
      <c r="S49" s="37"/>
    </row>
    <row r="50">
      <c r="A50" s="126">
        <v>46.0</v>
      </c>
      <c r="B50" s="126" t="s">
        <v>57</v>
      </c>
      <c r="C50" s="122" t="s">
        <v>151</v>
      </c>
      <c r="D50" s="122"/>
      <c r="E50" s="122"/>
      <c r="F50" s="122" t="s">
        <v>215</v>
      </c>
      <c r="G50" s="122" t="s">
        <v>68</v>
      </c>
      <c r="H50" s="122"/>
      <c r="I50" s="127" t="s">
        <v>216</v>
      </c>
      <c r="J50" s="128">
        <v>4.941207362E9</v>
      </c>
      <c r="K50" s="128">
        <v>4.4117922875E9</v>
      </c>
      <c r="L50" s="127" t="s">
        <v>101</v>
      </c>
      <c r="M50" s="122" t="s">
        <v>70</v>
      </c>
      <c r="N50" s="122" t="s">
        <v>179</v>
      </c>
      <c r="O50" s="122"/>
      <c r="P50" s="122"/>
      <c r="Q50" s="122" t="s">
        <v>108</v>
      </c>
      <c r="R50" s="37"/>
      <c r="S50" s="37"/>
    </row>
    <row r="51">
      <c r="A51" s="126">
        <v>47.0</v>
      </c>
      <c r="B51" s="126" t="s">
        <v>57</v>
      </c>
      <c r="C51" s="122" t="s">
        <v>151</v>
      </c>
      <c r="D51" s="122"/>
      <c r="E51" s="122"/>
      <c r="F51" s="122" t="s">
        <v>218</v>
      </c>
      <c r="G51" s="122" t="s">
        <v>60</v>
      </c>
      <c r="H51" s="122"/>
      <c r="I51" s="127" t="s">
        <v>197</v>
      </c>
      <c r="J51" s="128">
        <v>5.202079108E9</v>
      </c>
      <c r="K51" s="128">
        <v>4.644713489285714E9</v>
      </c>
      <c r="L51" s="127" t="s">
        <v>101</v>
      </c>
      <c r="M51" s="122" t="s">
        <v>70</v>
      </c>
      <c r="N51" s="122" t="s">
        <v>184</v>
      </c>
      <c r="O51" s="122"/>
      <c r="P51" s="122"/>
      <c r="Q51" s="122" t="s">
        <v>108</v>
      </c>
      <c r="R51" s="37"/>
      <c r="S51" s="37"/>
    </row>
    <row r="52">
      <c r="A52" s="126">
        <v>48.0</v>
      </c>
      <c r="B52" s="126" t="s">
        <v>57</v>
      </c>
      <c r="C52" s="122" t="s">
        <v>151</v>
      </c>
      <c r="D52" s="122"/>
      <c r="E52" s="122"/>
      <c r="F52" s="122" t="s">
        <v>220</v>
      </c>
      <c r="G52" s="122" t="s">
        <v>60</v>
      </c>
      <c r="H52" s="122"/>
      <c r="I52" s="127" t="s">
        <v>222</v>
      </c>
      <c r="J52" s="128">
        <v>5.182918597E9</v>
      </c>
      <c r="K52" s="128">
        <v>4.627605890178571E9</v>
      </c>
      <c r="L52" s="127" t="s">
        <v>101</v>
      </c>
      <c r="M52" s="122" t="s">
        <v>70</v>
      </c>
      <c r="N52" s="122" t="s">
        <v>184</v>
      </c>
      <c r="O52" s="122"/>
      <c r="P52" s="122"/>
      <c r="Q52" s="122" t="s">
        <v>108</v>
      </c>
      <c r="R52" s="37"/>
      <c r="S52" s="37"/>
    </row>
    <row r="53">
      <c r="A53" s="126">
        <v>49.0</v>
      </c>
      <c r="B53" s="126" t="s">
        <v>57</v>
      </c>
      <c r="C53" s="122" t="s">
        <v>151</v>
      </c>
      <c r="D53" s="122"/>
      <c r="E53" s="122"/>
      <c r="F53" s="122" t="s">
        <v>223</v>
      </c>
      <c r="G53" s="122" t="s">
        <v>89</v>
      </c>
      <c r="H53" s="122"/>
      <c r="I53" s="203">
        <v>46053.0</v>
      </c>
      <c r="J53" s="128">
        <v>3.334082194E9</v>
      </c>
      <c r="K53" s="128">
        <v>2.976859101785714E9</v>
      </c>
      <c r="L53" s="127" t="s">
        <v>101</v>
      </c>
      <c r="M53" s="122" t="s">
        <v>70</v>
      </c>
      <c r="N53" s="122" t="s">
        <v>281</v>
      </c>
      <c r="O53" s="122"/>
      <c r="P53" s="122"/>
      <c r="Q53" s="122" t="s">
        <v>108</v>
      </c>
      <c r="R53" s="37"/>
      <c r="S53" s="37"/>
    </row>
    <row r="54">
      <c r="A54" s="126">
        <v>50.0</v>
      </c>
      <c r="B54" s="126" t="s">
        <v>57</v>
      </c>
      <c r="C54" s="122" t="s">
        <v>151</v>
      </c>
      <c r="D54" s="122"/>
      <c r="E54" s="122"/>
      <c r="F54" s="122" t="s">
        <v>225</v>
      </c>
      <c r="G54" s="122" t="s">
        <v>60</v>
      </c>
      <c r="H54" s="122"/>
      <c r="I54" s="127" t="s">
        <v>222</v>
      </c>
      <c r="J54" s="128">
        <v>4.060718938E9</v>
      </c>
      <c r="K54" s="128">
        <v>3.625641908928571E9</v>
      </c>
      <c r="L54" s="127" t="s">
        <v>101</v>
      </c>
      <c r="M54" s="122" t="s">
        <v>70</v>
      </c>
      <c r="N54" s="122" t="s">
        <v>184</v>
      </c>
      <c r="O54" s="122"/>
      <c r="P54" s="122"/>
      <c r="Q54" s="122" t="s">
        <v>108</v>
      </c>
      <c r="R54" s="37"/>
      <c r="S54" s="37"/>
    </row>
    <row r="55">
      <c r="A55" s="126">
        <v>51.0</v>
      </c>
      <c r="B55" s="126" t="s">
        <v>57</v>
      </c>
      <c r="C55" s="122" t="s">
        <v>151</v>
      </c>
      <c r="D55" s="122"/>
      <c r="E55" s="122"/>
      <c r="F55" s="122" t="s">
        <v>227</v>
      </c>
      <c r="G55" s="122" t="s">
        <v>60</v>
      </c>
      <c r="H55" s="122"/>
      <c r="I55" s="127" t="s">
        <v>209</v>
      </c>
      <c r="J55" s="128">
        <v>4.284862464E9</v>
      </c>
      <c r="K55" s="128">
        <v>3.8257700571428566E9</v>
      </c>
      <c r="L55" s="127" t="s">
        <v>101</v>
      </c>
      <c r="M55" s="122" t="s">
        <v>70</v>
      </c>
      <c r="N55" s="122" t="s">
        <v>184</v>
      </c>
      <c r="O55" s="122"/>
      <c r="P55" s="122"/>
      <c r="Q55" s="122" t="s">
        <v>108</v>
      </c>
      <c r="R55" s="37"/>
      <c r="S55" s="37"/>
    </row>
    <row r="56">
      <c r="A56" s="126">
        <v>52.0</v>
      </c>
      <c r="B56" s="126" t="s">
        <v>285</v>
      </c>
      <c r="C56" s="206" t="s">
        <v>51</v>
      </c>
      <c r="D56" s="207" t="s">
        <v>228</v>
      </c>
      <c r="E56" s="206">
        <v>15.0</v>
      </c>
      <c r="F56" s="206" t="s">
        <v>286</v>
      </c>
      <c r="G56" s="206" t="s">
        <v>53</v>
      </c>
      <c r="H56" s="206" t="s">
        <v>287</v>
      </c>
      <c r="I56" s="206" t="s">
        <v>288</v>
      </c>
      <c r="J56" s="206" t="s">
        <v>289</v>
      </c>
      <c r="K56" s="208"/>
      <c r="L56" s="208"/>
      <c r="M56" s="208"/>
      <c r="N56" s="208"/>
      <c r="O56" s="208"/>
      <c r="P56" s="208"/>
      <c r="Q56" s="208"/>
      <c r="R56" s="209" t="s">
        <v>292</v>
      </c>
    </row>
    <row r="57">
      <c r="A57" s="126">
        <v>53.0</v>
      </c>
      <c r="B57" s="126" t="s">
        <v>285</v>
      </c>
      <c r="C57" s="206" t="s">
        <v>51</v>
      </c>
      <c r="D57" s="207" t="s">
        <v>228</v>
      </c>
      <c r="E57" s="206">
        <v>29.0</v>
      </c>
      <c r="F57" s="206" t="s">
        <v>293</v>
      </c>
      <c r="G57" s="206" t="s">
        <v>53</v>
      </c>
      <c r="H57" s="206">
        <v>61.0</v>
      </c>
      <c r="I57" s="206" t="s">
        <v>99</v>
      </c>
      <c r="J57" s="206" t="s">
        <v>294</v>
      </c>
      <c r="K57" s="208"/>
      <c r="L57" s="208"/>
      <c r="M57" s="208"/>
      <c r="N57" s="208"/>
      <c r="O57" s="208"/>
      <c r="P57" s="208"/>
      <c r="Q57" s="208"/>
      <c r="R57" s="209" t="s">
        <v>295</v>
      </c>
    </row>
    <row r="58">
      <c r="A58" s="126">
        <v>54.0</v>
      </c>
      <c r="B58" s="126" t="s">
        <v>285</v>
      </c>
      <c r="C58" s="206" t="s">
        <v>51</v>
      </c>
      <c r="D58" s="207" t="s">
        <v>228</v>
      </c>
      <c r="E58" s="206">
        <v>32.0</v>
      </c>
      <c r="F58" s="206" t="s">
        <v>298</v>
      </c>
      <c r="G58" s="206" t="s">
        <v>89</v>
      </c>
      <c r="H58" s="206" t="s">
        <v>299</v>
      </c>
      <c r="I58" s="206" t="s">
        <v>300</v>
      </c>
      <c r="J58" s="206" t="s">
        <v>301</v>
      </c>
      <c r="K58" s="208"/>
      <c r="L58" s="208"/>
      <c r="M58" s="208"/>
      <c r="N58" s="208"/>
      <c r="O58" s="208"/>
      <c r="P58" s="208"/>
      <c r="Q58" s="208"/>
      <c r="R58" s="209" t="s">
        <v>302</v>
      </c>
    </row>
    <row r="59">
      <c r="A59" s="126">
        <v>55.0</v>
      </c>
      <c r="B59" s="126" t="s">
        <v>285</v>
      </c>
      <c r="C59" s="206" t="s">
        <v>51</v>
      </c>
      <c r="D59" s="207" t="s">
        <v>228</v>
      </c>
      <c r="E59" s="207" t="s">
        <v>228</v>
      </c>
      <c r="F59" s="206" t="s">
        <v>303</v>
      </c>
      <c r="G59" s="206" t="s">
        <v>24</v>
      </c>
      <c r="H59" s="206">
        <v>80.0</v>
      </c>
      <c r="I59" s="206" t="s">
        <v>305</v>
      </c>
      <c r="J59" s="206" t="s">
        <v>306</v>
      </c>
      <c r="K59" s="208"/>
      <c r="L59" s="208"/>
      <c r="M59" s="208"/>
      <c r="N59" s="208"/>
      <c r="O59" s="208"/>
      <c r="P59" s="208"/>
      <c r="Q59" s="208"/>
      <c r="R59" s="209" t="s">
        <v>307</v>
      </c>
    </row>
    <row r="60">
      <c r="A60" s="126">
        <v>56.0</v>
      </c>
      <c r="B60" s="126" t="s">
        <v>285</v>
      </c>
      <c r="C60" s="206" t="s">
        <v>51</v>
      </c>
      <c r="D60" s="206">
        <v>5.0</v>
      </c>
      <c r="E60" s="206" t="s">
        <v>35</v>
      </c>
      <c r="F60" s="212" t="s">
        <v>308</v>
      </c>
      <c r="G60" s="206" t="s">
        <v>53</v>
      </c>
      <c r="H60" s="206" t="s">
        <v>158</v>
      </c>
      <c r="I60" s="206" t="s">
        <v>222</v>
      </c>
      <c r="J60" s="213" t="s">
        <v>309</v>
      </c>
      <c r="K60" s="208"/>
      <c r="L60" s="208"/>
      <c r="M60" s="208"/>
      <c r="N60" s="208"/>
      <c r="O60" s="208"/>
      <c r="P60" s="208"/>
      <c r="Q60" s="208"/>
      <c r="R60" s="214" t="s">
        <v>310</v>
      </c>
    </row>
    <row r="61">
      <c r="A61" s="126">
        <v>57.0</v>
      </c>
      <c r="B61" s="126" t="s">
        <v>285</v>
      </c>
      <c r="C61" s="206" t="s">
        <v>51</v>
      </c>
      <c r="D61" s="206">
        <v>6.0</v>
      </c>
      <c r="E61" s="206">
        <v>6.0</v>
      </c>
      <c r="F61" s="206" t="s">
        <v>313</v>
      </c>
      <c r="G61" s="206" t="s">
        <v>24</v>
      </c>
      <c r="H61" s="206">
        <v>74.6</v>
      </c>
      <c r="I61" s="206">
        <v>66.7</v>
      </c>
      <c r="J61" s="213">
        <v>6.002389865E9</v>
      </c>
      <c r="K61" s="208"/>
      <c r="L61" s="208"/>
      <c r="M61" s="208"/>
      <c r="N61" s="208"/>
      <c r="O61" s="208"/>
      <c r="P61" s="208"/>
      <c r="Q61" s="208"/>
      <c r="R61" s="209" t="s">
        <v>313</v>
      </c>
    </row>
    <row r="62">
      <c r="A62" s="126">
        <v>58.0</v>
      </c>
      <c r="B62" s="126" t="s">
        <v>285</v>
      </c>
      <c r="C62" s="206" t="s">
        <v>51</v>
      </c>
      <c r="D62" s="206">
        <v>7.0</v>
      </c>
      <c r="E62" s="206">
        <v>30.0</v>
      </c>
      <c r="F62" s="206" t="s">
        <v>317</v>
      </c>
      <c r="G62" s="206" t="s">
        <v>24</v>
      </c>
      <c r="H62" s="206" t="s">
        <v>318</v>
      </c>
      <c r="I62" s="206" t="s">
        <v>69</v>
      </c>
      <c r="J62" s="213" t="s">
        <v>319</v>
      </c>
      <c r="K62" s="208"/>
      <c r="L62" s="208"/>
      <c r="M62" s="208"/>
      <c r="N62" s="208"/>
      <c r="O62" s="208"/>
      <c r="P62" s="208"/>
      <c r="Q62" s="208"/>
      <c r="R62" s="209" t="s">
        <v>317</v>
      </c>
    </row>
    <row r="63">
      <c r="A63" s="126">
        <v>59.0</v>
      </c>
      <c r="B63" s="126" t="s">
        <v>285</v>
      </c>
      <c r="C63" s="206" t="s">
        <v>51</v>
      </c>
      <c r="D63" s="206">
        <v>9.0</v>
      </c>
      <c r="E63" s="206">
        <v>21.0</v>
      </c>
      <c r="F63" s="206" t="s">
        <v>320</v>
      </c>
      <c r="G63" s="206" t="s">
        <v>53</v>
      </c>
      <c r="H63" s="206" t="s">
        <v>158</v>
      </c>
      <c r="I63" s="206" t="s">
        <v>129</v>
      </c>
      <c r="J63" s="206" t="s">
        <v>324</v>
      </c>
      <c r="K63" s="208"/>
      <c r="L63" s="208"/>
      <c r="M63" s="208"/>
      <c r="N63" s="208"/>
      <c r="O63" s="208"/>
      <c r="P63" s="208"/>
      <c r="Q63" s="208"/>
      <c r="R63" s="209" t="s">
        <v>325</v>
      </c>
    </row>
    <row r="64">
      <c r="A64" s="126">
        <v>60.0</v>
      </c>
      <c r="B64" s="126" t="s">
        <v>285</v>
      </c>
      <c r="C64" s="216" t="s">
        <v>51</v>
      </c>
      <c r="D64" s="216">
        <v>9.0</v>
      </c>
      <c r="E64" s="216">
        <v>17.0</v>
      </c>
      <c r="F64" s="216" t="s">
        <v>326</v>
      </c>
      <c r="G64" s="206" t="s">
        <v>24</v>
      </c>
      <c r="H64" s="216" t="s">
        <v>327</v>
      </c>
      <c r="I64" s="216" t="s">
        <v>328</v>
      </c>
      <c r="J64" s="217" t="s">
        <v>329</v>
      </c>
      <c r="K64" s="208"/>
      <c r="L64" s="208"/>
      <c r="M64" s="208"/>
      <c r="N64" s="208"/>
      <c r="O64" s="208"/>
      <c r="P64" s="208"/>
      <c r="Q64" s="208"/>
      <c r="R64" s="218" t="s">
        <v>332</v>
      </c>
    </row>
    <row r="65">
      <c r="A65" s="126">
        <v>61.0</v>
      </c>
      <c r="B65" s="126" t="s">
        <v>285</v>
      </c>
      <c r="C65" s="206" t="s">
        <v>51</v>
      </c>
      <c r="D65" s="206">
        <v>9.0</v>
      </c>
      <c r="E65" s="206">
        <v>28.0</v>
      </c>
      <c r="F65" s="206" t="s">
        <v>334</v>
      </c>
      <c r="G65" s="206" t="s">
        <v>24</v>
      </c>
      <c r="H65" s="206" t="s">
        <v>335</v>
      </c>
      <c r="I65" s="206" t="s">
        <v>72</v>
      </c>
      <c r="J65" s="206" t="s">
        <v>336</v>
      </c>
      <c r="K65" s="208"/>
      <c r="L65" s="208"/>
      <c r="M65" s="208"/>
      <c r="N65" s="208"/>
      <c r="O65" s="208"/>
      <c r="P65" s="208"/>
      <c r="Q65" s="208"/>
      <c r="R65" s="209" t="s">
        <v>337</v>
      </c>
    </row>
    <row r="66">
      <c r="A66" s="126">
        <v>62.0</v>
      </c>
      <c r="B66" s="126" t="s">
        <v>285</v>
      </c>
      <c r="C66" s="206" t="s">
        <v>51</v>
      </c>
      <c r="D66" s="206">
        <v>21.0</v>
      </c>
      <c r="E66" s="206">
        <v>15.0</v>
      </c>
      <c r="F66" s="206" t="s">
        <v>345</v>
      </c>
      <c r="G66" s="206" t="s">
        <v>53</v>
      </c>
      <c r="H66" s="206">
        <v>57.3</v>
      </c>
      <c r="I66" s="206">
        <v>52.2</v>
      </c>
      <c r="J66" s="213">
        <v>3.599595067E9</v>
      </c>
      <c r="K66" s="208"/>
      <c r="L66" s="208"/>
      <c r="M66" s="208"/>
      <c r="N66" s="208"/>
      <c r="O66" s="208"/>
      <c r="P66" s="208"/>
      <c r="Q66" s="208"/>
      <c r="R66" s="209" t="s">
        <v>346</v>
      </c>
    </row>
    <row r="67">
      <c r="A67" s="126">
        <v>63.0</v>
      </c>
      <c r="B67" s="126" t="s">
        <v>285</v>
      </c>
      <c r="C67" s="206" t="s">
        <v>51</v>
      </c>
      <c r="D67" s="206">
        <v>22.0</v>
      </c>
      <c r="E67" s="207" t="s">
        <v>154</v>
      </c>
      <c r="F67" s="206" t="s">
        <v>338</v>
      </c>
      <c r="G67" s="216" t="s">
        <v>53</v>
      </c>
      <c r="H67" s="206" t="s">
        <v>339</v>
      </c>
      <c r="I67" s="206" t="s">
        <v>76</v>
      </c>
      <c r="J67" s="217" t="s">
        <v>340</v>
      </c>
      <c r="K67" s="208"/>
      <c r="L67" s="208"/>
      <c r="M67" s="208"/>
      <c r="N67" s="208"/>
      <c r="O67" s="208"/>
      <c r="P67" s="208"/>
      <c r="Q67" s="208"/>
      <c r="R67" s="218" t="s">
        <v>338</v>
      </c>
    </row>
    <row r="68">
      <c r="A68" s="126">
        <v>64.0</v>
      </c>
      <c r="B68" s="126" t="s">
        <v>285</v>
      </c>
      <c r="C68" s="206" t="s">
        <v>51</v>
      </c>
      <c r="D68" s="206">
        <v>23.0</v>
      </c>
      <c r="E68" s="207" t="s">
        <v>80</v>
      </c>
      <c r="F68" s="206" t="s">
        <v>341</v>
      </c>
      <c r="G68" s="206" t="s">
        <v>24</v>
      </c>
      <c r="H68" s="206" t="s">
        <v>342</v>
      </c>
      <c r="I68" s="206" t="s">
        <v>343</v>
      </c>
      <c r="J68" s="206" t="s">
        <v>344</v>
      </c>
      <c r="K68" s="208"/>
      <c r="L68" s="208"/>
      <c r="M68" s="208"/>
      <c r="N68" s="208"/>
      <c r="O68" s="208"/>
      <c r="P68" s="208"/>
      <c r="Q68" s="208"/>
      <c r="R68" s="209" t="s">
        <v>341</v>
      </c>
    </row>
    <row r="69">
      <c r="A69" s="126">
        <v>65.0</v>
      </c>
      <c r="B69" s="126" t="s">
        <v>285</v>
      </c>
      <c r="C69" s="222" t="s">
        <v>33</v>
      </c>
      <c r="D69" s="222">
        <v>5.0</v>
      </c>
      <c r="E69" s="222">
        <v>3.0</v>
      </c>
      <c r="F69" s="223" t="s">
        <v>347</v>
      </c>
      <c r="G69" s="222" t="s">
        <v>53</v>
      </c>
      <c r="H69" s="222" t="s">
        <v>161</v>
      </c>
      <c r="I69" s="224" t="s">
        <v>222</v>
      </c>
      <c r="J69" s="226" t="s">
        <v>348</v>
      </c>
      <c r="K69" s="208"/>
      <c r="L69" s="208"/>
      <c r="M69" s="208"/>
      <c r="N69" s="208"/>
      <c r="O69" s="223"/>
      <c r="P69" s="208"/>
      <c r="Q69" s="208"/>
      <c r="R69" s="230" t="s">
        <v>349</v>
      </c>
    </row>
    <row r="70">
      <c r="A70" s="126">
        <v>66.0</v>
      </c>
      <c r="B70" s="126" t="s">
        <v>285</v>
      </c>
      <c r="C70" s="222" t="s">
        <v>33</v>
      </c>
      <c r="D70" s="222">
        <v>5.0</v>
      </c>
      <c r="E70" s="222">
        <v>6.0</v>
      </c>
      <c r="F70" s="223" t="s">
        <v>350</v>
      </c>
      <c r="G70" s="222" t="s">
        <v>53</v>
      </c>
      <c r="H70" s="222" t="s">
        <v>158</v>
      </c>
      <c r="I70" s="224" t="s">
        <v>129</v>
      </c>
      <c r="J70" s="226" t="s">
        <v>351</v>
      </c>
      <c r="K70" s="208"/>
      <c r="L70" s="208"/>
      <c r="M70" s="208"/>
      <c r="N70" s="208"/>
      <c r="O70" s="223"/>
      <c r="P70" s="208"/>
      <c r="Q70" s="208"/>
      <c r="R70" s="230" t="s">
        <v>352</v>
      </c>
    </row>
    <row r="71">
      <c r="A71" s="126">
        <v>67.0</v>
      </c>
      <c r="B71" s="126" t="s">
        <v>285</v>
      </c>
      <c r="C71" s="222" t="s">
        <v>33</v>
      </c>
      <c r="D71" s="222">
        <v>8.0</v>
      </c>
      <c r="E71" s="222">
        <v>39.0</v>
      </c>
      <c r="F71" s="223" t="s">
        <v>354</v>
      </c>
      <c r="G71" s="222" t="s">
        <v>24</v>
      </c>
      <c r="H71" s="222">
        <v>72.0</v>
      </c>
      <c r="I71" s="224" t="s">
        <v>355</v>
      </c>
      <c r="J71" s="241" t="s">
        <v>356</v>
      </c>
      <c r="K71" s="208"/>
      <c r="L71" s="208"/>
      <c r="M71" s="208"/>
      <c r="N71" s="208"/>
      <c r="O71" s="223"/>
      <c r="P71" s="208"/>
      <c r="Q71" s="208"/>
      <c r="R71" s="230" t="s">
        <v>357</v>
      </c>
    </row>
    <row r="72">
      <c r="A72" s="126">
        <v>68.0</v>
      </c>
      <c r="B72" s="126" t="s">
        <v>285</v>
      </c>
      <c r="C72" s="245" t="s">
        <v>33</v>
      </c>
      <c r="D72" s="245">
        <v>7.0</v>
      </c>
      <c r="E72" s="245">
        <v>32.0</v>
      </c>
      <c r="F72" s="246" t="s">
        <v>378</v>
      </c>
      <c r="G72" s="245" t="s">
        <v>89</v>
      </c>
      <c r="H72" s="245" t="s">
        <v>362</v>
      </c>
      <c r="I72" s="247" t="s">
        <v>363</v>
      </c>
      <c r="J72" s="248" t="s">
        <v>364</v>
      </c>
      <c r="K72" s="208"/>
      <c r="L72" s="208"/>
      <c r="M72" s="208"/>
      <c r="N72" s="208"/>
      <c r="O72" s="208"/>
      <c r="P72" s="208"/>
      <c r="Q72" s="208"/>
      <c r="R72" s="249" t="s">
        <v>385</v>
      </c>
    </row>
    <row r="73">
      <c r="A73" s="126">
        <v>69.0</v>
      </c>
      <c r="B73" s="126" t="s">
        <v>285</v>
      </c>
      <c r="C73" s="245" t="s">
        <v>33</v>
      </c>
      <c r="D73" s="245">
        <v>7.0</v>
      </c>
      <c r="E73" s="245">
        <v>41.0</v>
      </c>
      <c r="F73" s="246" t="s">
        <v>387</v>
      </c>
      <c r="G73" s="245" t="s">
        <v>53</v>
      </c>
      <c r="H73" s="245" t="s">
        <v>164</v>
      </c>
      <c r="I73" s="247" t="s">
        <v>288</v>
      </c>
      <c r="J73" s="248" t="s">
        <v>232</v>
      </c>
      <c r="K73" s="208"/>
      <c r="L73" s="208"/>
      <c r="M73" s="208"/>
      <c r="N73" s="208"/>
      <c r="O73" s="208"/>
      <c r="P73" s="208"/>
      <c r="Q73" s="208"/>
      <c r="R73" s="249" t="s">
        <v>231</v>
      </c>
    </row>
    <row r="74">
      <c r="A74" s="126">
        <v>70.0</v>
      </c>
      <c r="B74" s="126" t="s">
        <v>285</v>
      </c>
      <c r="C74" s="245" t="s">
        <v>33</v>
      </c>
      <c r="D74" s="245">
        <v>8.0</v>
      </c>
      <c r="E74" s="245">
        <v>37.0</v>
      </c>
      <c r="F74" s="246" t="s">
        <v>393</v>
      </c>
      <c r="G74" s="245" t="s">
        <v>53</v>
      </c>
      <c r="H74" s="245" t="s">
        <v>161</v>
      </c>
      <c r="I74" s="247" t="s">
        <v>222</v>
      </c>
      <c r="J74" s="251" t="s">
        <v>371</v>
      </c>
      <c r="K74" s="208"/>
      <c r="L74" s="208"/>
      <c r="M74" s="208"/>
      <c r="N74" s="208"/>
      <c r="O74" s="208"/>
      <c r="P74" s="208"/>
      <c r="Q74" s="208"/>
      <c r="R74" s="249" t="s">
        <v>399</v>
      </c>
    </row>
    <row r="75">
      <c r="A75" s="126">
        <v>71.0</v>
      </c>
      <c r="B75" s="126" t="s">
        <v>285</v>
      </c>
      <c r="C75" s="245" t="s">
        <v>33</v>
      </c>
      <c r="D75" s="245">
        <v>15.0</v>
      </c>
      <c r="E75" s="245">
        <v>32.0</v>
      </c>
      <c r="F75" s="246" t="s">
        <v>400</v>
      </c>
      <c r="G75" s="245" t="s">
        <v>89</v>
      </c>
      <c r="H75" s="245" t="s">
        <v>362</v>
      </c>
      <c r="I75" s="247" t="s">
        <v>363</v>
      </c>
      <c r="J75" s="251" t="s">
        <v>374</v>
      </c>
      <c r="K75" s="208"/>
      <c r="L75" s="208"/>
      <c r="M75" s="208"/>
      <c r="N75" s="208"/>
      <c r="O75" s="208"/>
      <c r="P75" s="208"/>
      <c r="Q75" s="208"/>
      <c r="R75" s="249" t="s">
        <v>406</v>
      </c>
    </row>
    <row r="76">
      <c r="A76" s="126">
        <v>72.0</v>
      </c>
      <c r="B76" s="126" t="s">
        <v>285</v>
      </c>
      <c r="C76" s="245" t="s">
        <v>33</v>
      </c>
      <c r="D76" s="245">
        <v>15.0</v>
      </c>
      <c r="E76" s="245">
        <v>41.0</v>
      </c>
      <c r="F76" s="246" t="s">
        <v>407</v>
      </c>
      <c r="G76" s="245" t="s">
        <v>53</v>
      </c>
      <c r="H76" s="111"/>
      <c r="I76" s="247" t="s">
        <v>288</v>
      </c>
      <c r="J76" s="248" t="s">
        <v>379</v>
      </c>
      <c r="K76" s="208"/>
      <c r="L76" s="208"/>
      <c r="M76" s="208"/>
      <c r="N76" s="208"/>
      <c r="O76" s="208"/>
      <c r="P76" s="208"/>
      <c r="Q76" s="208"/>
      <c r="R76" s="249" t="s">
        <v>411</v>
      </c>
    </row>
    <row r="77">
      <c r="A77" s="126">
        <v>73.0</v>
      </c>
      <c r="B77" s="126" t="s">
        <v>285</v>
      </c>
      <c r="C77" s="245" t="s">
        <v>33</v>
      </c>
      <c r="D77" s="245">
        <v>23.0</v>
      </c>
      <c r="E77" s="245">
        <v>11.0</v>
      </c>
      <c r="F77" s="246" t="s">
        <v>414</v>
      </c>
      <c r="G77" s="42" t="s">
        <v>24</v>
      </c>
      <c r="H77" s="42">
        <v>77.0</v>
      </c>
      <c r="I77" s="219" t="s">
        <v>382</v>
      </c>
      <c r="J77" s="253" t="s">
        <v>383</v>
      </c>
      <c r="K77" s="208"/>
      <c r="L77" s="208"/>
      <c r="M77" s="208"/>
      <c r="N77" s="208"/>
      <c r="O77" s="208"/>
      <c r="P77" s="208"/>
      <c r="Q77" s="208"/>
      <c r="R77" s="249" t="s">
        <v>420</v>
      </c>
    </row>
    <row r="78">
      <c r="A78" s="126">
        <v>74.0</v>
      </c>
      <c r="B78" s="126" t="s">
        <v>285</v>
      </c>
      <c r="C78" s="245" t="s">
        <v>33</v>
      </c>
      <c r="D78" s="245">
        <v>23.0</v>
      </c>
      <c r="E78" s="245">
        <v>6.0</v>
      </c>
      <c r="F78" s="246" t="s">
        <v>424</v>
      </c>
      <c r="G78" s="245" t="s">
        <v>53</v>
      </c>
      <c r="H78" s="245" t="s">
        <v>158</v>
      </c>
      <c r="I78" s="247" t="s">
        <v>129</v>
      </c>
      <c r="J78" s="251" t="s">
        <v>390</v>
      </c>
      <c r="K78" s="208"/>
      <c r="L78" s="208"/>
      <c r="M78" s="208"/>
      <c r="N78" s="208"/>
      <c r="O78" s="208"/>
      <c r="P78" s="208"/>
      <c r="Q78" s="208"/>
      <c r="R78" s="249" t="s">
        <v>429</v>
      </c>
    </row>
    <row r="79">
      <c r="A79" s="126">
        <v>75.0</v>
      </c>
      <c r="B79" s="126" t="s">
        <v>285</v>
      </c>
      <c r="C79" s="222" t="s">
        <v>33</v>
      </c>
      <c r="D79" s="222" t="s">
        <v>269</v>
      </c>
      <c r="E79" s="222">
        <v>37.0</v>
      </c>
      <c r="F79" s="254" t="s">
        <v>397</v>
      </c>
      <c r="G79" s="222" t="s">
        <v>53</v>
      </c>
      <c r="H79" s="222" t="s">
        <v>161</v>
      </c>
      <c r="I79" s="224" t="s">
        <v>222</v>
      </c>
      <c r="J79" s="226" t="s">
        <v>271</v>
      </c>
      <c r="K79" s="208"/>
      <c r="L79" s="208"/>
      <c r="M79" s="208"/>
      <c r="N79" s="208"/>
      <c r="O79" s="208"/>
      <c r="P79" s="254"/>
      <c r="Q79" s="208"/>
      <c r="R79" s="230" t="s">
        <v>398</v>
      </c>
    </row>
    <row r="80">
      <c r="A80" s="126">
        <v>76.0</v>
      </c>
      <c r="B80" s="126" t="s">
        <v>285</v>
      </c>
      <c r="C80" s="222" t="s">
        <v>33</v>
      </c>
      <c r="D80" s="222">
        <v>22.0</v>
      </c>
      <c r="E80" s="222">
        <v>1.0</v>
      </c>
      <c r="F80" s="254" t="s">
        <v>402</v>
      </c>
      <c r="G80" s="222" t="s">
        <v>24</v>
      </c>
      <c r="H80" s="222">
        <v>77.0</v>
      </c>
      <c r="I80" s="224" t="s">
        <v>403</v>
      </c>
      <c r="J80" s="226" t="s">
        <v>404</v>
      </c>
      <c r="K80" s="208"/>
      <c r="L80" s="208"/>
      <c r="M80" s="208"/>
      <c r="N80" s="208"/>
      <c r="O80" s="208"/>
      <c r="P80" s="254"/>
      <c r="Q80" s="208"/>
      <c r="R80" s="230" t="s">
        <v>405</v>
      </c>
    </row>
    <row r="81">
      <c r="A81" s="126">
        <v>77.0</v>
      </c>
      <c r="B81" s="126" t="s">
        <v>285</v>
      </c>
      <c r="C81" s="256" t="s">
        <v>22</v>
      </c>
      <c r="D81" s="256">
        <v>12.0</v>
      </c>
      <c r="E81" s="256">
        <v>2.0</v>
      </c>
      <c r="F81" s="257" t="s">
        <v>444</v>
      </c>
      <c r="G81" s="256" t="s">
        <v>53</v>
      </c>
      <c r="H81" s="256" t="s">
        <v>158</v>
      </c>
      <c r="I81" s="258" t="s">
        <v>157</v>
      </c>
      <c r="J81" s="259" t="s">
        <v>449</v>
      </c>
      <c r="K81" s="208"/>
      <c r="L81" s="208"/>
      <c r="M81" s="208"/>
      <c r="N81" s="208"/>
      <c r="O81" s="208"/>
      <c r="P81" s="208"/>
      <c r="Q81" s="208"/>
      <c r="R81" s="260" t="s">
        <v>451</v>
      </c>
    </row>
    <row r="82">
      <c r="A82" s="126">
        <v>78.0</v>
      </c>
      <c r="B82" s="126" t="s">
        <v>285</v>
      </c>
      <c r="C82" s="245" t="s">
        <v>22</v>
      </c>
      <c r="D82" s="245">
        <v>24.0</v>
      </c>
      <c r="E82" s="245">
        <v>29.0</v>
      </c>
      <c r="F82" s="246" t="s">
        <v>452</v>
      </c>
      <c r="G82" s="88" t="s">
        <v>53</v>
      </c>
      <c r="H82" s="96"/>
      <c r="I82" s="261" t="s">
        <v>76</v>
      </c>
      <c r="J82" s="262" t="s">
        <v>416</v>
      </c>
      <c r="K82" s="208"/>
      <c r="L82" s="208"/>
      <c r="M82" s="208"/>
      <c r="N82" s="208"/>
      <c r="O82" s="208"/>
      <c r="P82" s="208"/>
      <c r="Q82" s="208"/>
      <c r="R82" s="249" t="s">
        <v>459</v>
      </c>
    </row>
    <row r="83">
      <c r="A83" s="126">
        <v>79.0</v>
      </c>
      <c r="B83" s="126" t="s">
        <v>285</v>
      </c>
      <c r="C83" s="222" t="s">
        <v>22</v>
      </c>
      <c r="D83" s="222">
        <v>7.0</v>
      </c>
      <c r="E83" s="222">
        <v>24.0</v>
      </c>
      <c r="F83" s="246" t="s">
        <v>462</v>
      </c>
      <c r="G83" s="88" t="s">
        <v>89</v>
      </c>
      <c r="H83" s="88" t="s">
        <v>425</v>
      </c>
      <c r="I83" s="261" t="s">
        <v>426</v>
      </c>
      <c r="J83" s="262" t="s">
        <v>427</v>
      </c>
      <c r="K83" s="208"/>
      <c r="L83" s="208"/>
      <c r="M83" s="208"/>
      <c r="N83" s="208"/>
      <c r="O83" s="208"/>
      <c r="P83" s="208"/>
      <c r="Q83" s="208"/>
      <c r="R83" s="249" t="s">
        <v>466</v>
      </c>
    </row>
    <row r="84">
      <c r="A84" s="126">
        <v>80.0</v>
      </c>
      <c r="B84" s="126" t="s">
        <v>285</v>
      </c>
      <c r="C84" s="222" t="s">
        <v>22</v>
      </c>
      <c r="D84" s="222">
        <v>17.0</v>
      </c>
      <c r="E84" s="222">
        <v>10.0</v>
      </c>
      <c r="F84" s="223" t="s">
        <v>430</v>
      </c>
      <c r="G84" s="222" t="s">
        <v>53</v>
      </c>
      <c r="H84" s="222" t="s">
        <v>161</v>
      </c>
      <c r="I84" s="224" t="s">
        <v>61</v>
      </c>
      <c r="J84" s="226" t="s">
        <v>431</v>
      </c>
      <c r="K84" s="208"/>
      <c r="L84" s="208"/>
      <c r="M84" s="208"/>
      <c r="N84" s="208"/>
      <c r="O84" s="223"/>
      <c r="P84" s="208"/>
      <c r="Q84" s="208"/>
      <c r="R84" s="230" t="s">
        <v>433</v>
      </c>
    </row>
    <row r="85">
      <c r="A85" s="126">
        <v>81.0</v>
      </c>
      <c r="B85" s="126" t="s">
        <v>285</v>
      </c>
      <c r="C85" s="222" t="s">
        <v>22</v>
      </c>
      <c r="D85" s="222">
        <v>21.0</v>
      </c>
      <c r="E85" s="222">
        <v>25.0</v>
      </c>
      <c r="F85" s="223" t="s">
        <v>435</v>
      </c>
      <c r="G85" s="222" t="s">
        <v>53</v>
      </c>
      <c r="H85" s="222" t="s">
        <v>191</v>
      </c>
      <c r="I85" s="224" t="s">
        <v>190</v>
      </c>
      <c r="J85" s="226" t="s">
        <v>436</v>
      </c>
      <c r="K85" s="208"/>
      <c r="L85" s="208"/>
      <c r="M85" s="208"/>
      <c r="N85" s="208"/>
      <c r="O85" s="223"/>
      <c r="P85" s="208"/>
      <c r="Q85" s="208"/>
      <c r="R85" s="230" t="s">
        <v>437</v>
      </c>
    </row>
    <row r="86">
      <c r="A86" s="126">
        <v>82.0</v>
      </c>
      <c r="B86" s="126" t="s">
        <v>285</v>
      </c>
      <c r="C86" s="245" t="s">
        <v>151</v>
      </c>
      <c r="D86" s="245">
        <v>15.0</v>
      </c>
      <c r="E86" s="245" t="s">
        <v>269</v>
      </c>
      <c r="F86" s="246" t="s">
        <v>476</v>
      </c>
      <c r="G86" s="222" t="s">
        <v>422</v>
      </c>
      <c r="H86" s="245" t="s">
        <v>396</v>
      </c>
      <c r="I86" s="247" t="s">
        <v>441</v>
      </c>
      <c r="J86" s="248" t="s">
        <v>442</v>
      </c>
      <c r="K86" s="208"/>
      <c r="L86" s="208"/>
      <c r="M86" s="208"/>
      <c r="N86" s="208"/>
      <c r="O86" s="208"/>
      <c r="P86" s="208"/>
      <c r="Q86" s="208"/>
      <c r="R86" s="249" t="s">
        <v>481</v>
      </c>
    </row>
    <row r="87">
      <c r="A87" s="126">
        <v>83.0</v>
      </c>
      <c r="B87" s="126" t="s">
        <v>285</v>
      </c>
      <c r="C87" s="245" t="s">
        <v>151</v>
      </c>
      <c r="D87" s="245">
        <v>19.0</v>
      </c>
      <c r="E87" s="245">
        <v>26.0</v>
      </c>
      <c r="F87" s="246" t="s">
        <v>482</v>
      </c>
      <c r="G87" s="222" t="s">
        <v>53</v>
      </c>
      <c r="H87" s="245" t="s">
        <v>191</v>
      </c>
      <c r="I87" s="247" t="s">
        <v>447</v>
      </c>
      <c r="J87" s="248" t="s">
        <v>448</v>
      </c>
      <c r="K87" s="208"/>
      <c r="L87" s="208"/>
      <c r="M87" s="208"/>
      <c r="N87" s="208"/>
      <c r="O87" s="208"/>
      <c r="P87" s="208"/>
      <c r="Q87" s="208"/>
      <c r="R87" s="249" t="s">
        <v>486</v>
      </c>
    </row>
    <row r="88">
      <c r="A88" s="126">
        <v>84.0</v>
      </c>
      <c r="B88" s="126" t="s">
        <v>285</v>
      </c>
      <c r="C88" s="245" t="s">
        <v>151</v>
      </c>
      <c r="D88" s="245">
        <v>19.0</v>
      </c>
      <c r="E88" s="245">
        <v>3.0</v>
      </c>
      <c r="F88" s="246" t="s">
        <v>487</v>
      </c>
      <c r="G88" s="222" t="s">
        <v>53</v>
      </c>
      <c r="H88" s="245" t="s">
        <v>161</v>
      </c>
      <c r="I88" s="247" t="s">
        <v>181</v>
      </c>
      <c r="J88" s="248" t="s">
        <v>454</v>
      </c>
      <c r="K88" s="208"/>
      <c r="L88" s="208"/>
      <c r="M88" s="208"/>
      <c r="N88" s="208"/>
      <c r="O88" s="208"/>
      <c r="P88" s="208"/>
      <c r="Q88" s="208"/>
      <c r="R88" s="249" t="s">
        <v>494</v>
      </c>
    </row>
    <row r="89">
      <c r="A89" s="126">
        <v>85.0</v>
      </c>
      <c r="B89" s="126" t="s">
        <v>285</v>
      </c>
      <c r="C89" s="222" t="s">
        <v>151</v>
      </c>
      <c r="D89" s="222">
        <v>20.0</v>
      </c>
      <c r="E89" s="222">
        <v>22.0</v>
      </c>
      <c r="F89" s="246" t="s">
        <v>495</v>
      </c>
      <c r="G89" s="222" t="s">
        <v>53</v>
      </c>
      <c r="H89" s="222" t="s">
        <v>161</v>
      </c>
      <c r="I89" s="224" t="s">
        <v>76</v>
      </c>
      <c r="J89" s="226" t="s">
        <v>460</v>
      </c>
      <c r="K89" s="208"/>
      <c r="L89" s="208"/>
      <c r="M89" s="208"/>
      <c r="N89" s="208"/>
      <c r="O89" s="208"/>
      <c r="P89" s="208"/>
      <c r="Q89" s="208"/>
      <c r="R89" s="249" t="s">
        <v>502</v>
      </c>
    </row>
    <row r="90">
      <c r="A90" s="126">
        <v>86.0</v>
      </c>
      <c r="B90" s="126" t="s">
        <v>285</v>
      </c>
      <c r="C90" s="222" t="s">
        <v>151</v>
      </c>
      <c r="D90" s="222">
        <v>20.0</v>
      </c>
      <c r="E90" s="222">
        <v>5.0</v>
      </c>
      <c r="F90" s="246" t="s">
        <v>504</v>
      </c>
      <c r="G90" s="222" t="s">
        <v>53</v>
      </c>
      <c r="H90" s="222" t="s">
        <v>161</v>
      </c>
      <c r="I90" s="224" t="s">
        <v>222</v>
      </c>
      <c r="J90" s="226" t="s">
        <v>465</v>
      </c>
      <c r="K90" s="208"/>
      <c r="L90" s="208"/>
      <c r="M90" s="208"/>
      <c r="N90" s="208"/>
      <c r="O90" s="208"/>
      <c r="P90" s="208"/>
      <c r="Q90" s="208"/>
      <c r="R90" s="249" t="s">
        <v>507</v>
      </c>
    </row>
    <row r="91">
      <c r="A91" s="126">
        <v>87.0</v>
      </c>
      <c r="B91" s="126" t="s">
        <v>285</v>
      </c>
      <c r="C91" s="222" t="s">
        <v>151</v>
      </c>
      <c r="D91" s="222">
        <v>23.0</v>
      </c>
      <c r="E91" s="222">
        <v>19.0</v>
      </c>
      <c r="F91" s="246" t="s">
        <v>511</v>
      </c>
      <c r="G91" s="222" t="s">
        <v>89</v>
      </c>
      <c r="H91" s="222" t="s">
        <v>425</v>
      </c>
      <c r="I91" s="224" t="s">
        <v>470</v>
      </c>
      <c r="J91" s="226" t="s">
        <v>471</v>
      </c>
      <c r="K91" s="208"/>
      <c r="L91" s="208"/>
      <c r="M91" s="208"/>
      <c r="N91" s="208"/>
      <c r="O91" s="208"/>
      <c r="P91" s="208"/>
      <c r="Q91" s="208"/>
      <c r="R91" s="249" t="s">
        <v>517</v>
      </c>
    </row>
    <row r="92">
      <c r="A92" s="126">
        <v>88.0</v>
      </c>
      <c r="B92" s="126" t="s">
        <v>285</v>
      </c>
      <c r="C92" s="222" t="s">
        <v>151</v>
      </c>
      <c r="D92" s="222">
        <v>6.0</v>
      </c>
      <c r="E92" s="222">
        <v>35.0</v>
      </c>
      <c r="F92" s="223" t="s">
        <v>457</v>
      </c>
      <c r="G92" s="222" t="s">
        <v>89</v>
      </c>
      <c r="H92" s="222" t="s">
        <v>183</v>
      </c>
      <c r="I92" s="224" t="s">
        <v>353</v>
      </c>
      <c r="J92" s="226" t="s">
        <v>474</v>
      </c>
      <c r="K92" s="208"/>
      <c r="L92" s="208"/>
      <c r="M92" s="208"/>
      <c r="N92" s="208"/>
      <c r="O92" s="208"/>
      <c r="P92" s="208"/>
      <c r="Q92" s="223"/>
      <c r="R92" s="230" t="s">
        <v>475</v>
      </c>
    </row>
    <row r="93">
      <c r="A93" s="126">
        <v>89.0</v>
      </c>
      <c r="B93" s="126" t="s">
        <v>285</v>
      </c>
      <c r="C93" s="222" t="s">
        <v>151</v>
      </c>
      <c r="D93" s="222">
        <v>8.0</v>
      </c>
      <c r="E93" s="222">
        <v>33.0</v>
      </c>
      <c r="F93" s="246" t="s">
        <v>525</v>
      </c>
      <c r="G93" s="222" t="s">
        <v>53</v>
      </c>
      <c r="H93" s="222" t="s">
        <v>360</v>
      </c>
      <c r="I93" s="224" t="s">
        <v>145</v>
      </c>
      <c r="J93" s="226" t="s">
        <v>478</v>
      </c>
      <c r="K93" s="208"/>
      <c r="L93" s="208"/>
      <c r="M93" s="208"/>
      <c r="N93" s="208"/>
      <c r="O93" s="208"/>
      <c r="P93" s="208"/>
      <c r="Q93" s="208"/>
      <c r="R93" s="249" t="s">
        <v>530</v>
      </c>
    </row>
    <row r="94">
      <c r="A94" s="126">
        <v>90.0</v>
      </c>
      <c r="B94" s="126" t="s">
        <v>285</v>
      </c>
      <c r="C94" s="222" t="s">
        <v>151</v>
      </c>
      <c r="D94" s="222">
        <v>8.0</v>
      </c>
      <c r="E94" s="222">
        <v>34.0</v>
      </c>
      <c r="F94" s="223" t="s">
        <v>483</v>
      </c>
      <c r="G94" s="222" t="s">
        <v>24</v>
      </c>
      <c r="H94" s="222" t="s">
        <v>316</v>
      </c>
      <c r="I94" s="222" t="s">
        <v>202</v>
      </c>
      <c r="J94" s="279" t="s">
        <v>484</v>
      </c>
      <c r="K94" s="208"/>
      <c r="L94" s="208"/>
      <c r="M94" s="208"/>
      <c r="N94" s="208"/>
      <c r="O94" s="208"/>
      <c r="P94" s="208"/>
      <c r="Q94" s="223"/>
      <c r="R94" s="230" t="s">
        <v>485</v>
      </c>
    </row>
    <row r="95">
      <c r="A95" s="126">
        <v>91.0</v>
      </c>
      <c r="B95" s="126" t="s">
        <v>285</v>
      </c>
      <c r="C95" s="222" t="s">
        <v>151</v>
      </c>
      <c r="D95" s="222">
        <v>8.0</v>
      </c>
      <c r="E95" s="222" t="s">
        <v>35</v>
      </c>
      <c r="F95" s="223" t="s">
        <v>490</v>
      </c>
      <c r="G95" s="222" t="s">
        <v>53</v>
      </c>
      <c r="H95" s="222" t="s">
        <v>161</v>
      </c>
      <c r="I95" s="222" t="s">
        <v>76</v>
      </c>
      <c r="J95" s="279" t="s">
        <v>492</v>
      </c>
      <c r="K95" s="208"/>
      <c r="L95" s="208"/>
      <c r="M95" s="208"/>
      <c r="N95" s="208"/>
      <c r="O95" s="208"/>
      <c r="P95" s="208"/>
      <c r="Q95" s="223"/>
      <c r="R95" s="230" t="s">
        <v>493</v>
      </c>
    </row>
    <row r="96">
      <c r="A96" s="126">
        <v>92.0</v>
      </c>
      <c r="B96" s="126" t="s">
        <v>285</v>
      </c>
      <c r="C96" s="245" t="s">
        <v>151</v>
      </c>
      <c r="D96" s="245">
        <v>10.0</v>
      </c>
      <c r="E96" s="282" t="s">
        <v>64</v>
      </c>
      <c r="F96" s="246" t="s">
        <v>538</v>
      </c>
      <c r="G96" s="222" t="s">
        <v>53</v>
      </c>
      <c r="H96" s="245" t="s">
        <v>191</v>
      </c>
      <c r="I96" s="245" t="s">
        <v>190</v>
      </c>
      <c r="J96" s="249" t="s">
        <v>497</v>
      </c>
      <c r="K96" s="208"/>
      <c r="L96" s="208"/>
      <c r="M96" s="208"/>
      <c r="N96" s="208"/>
      <c r="O96" s="208"/>
      <c r="P96" s="208"/>
      <c r="Q96" s="208"/>
      <c r="R96" s="249" t="s">
        <v>543</v>
      </c>
    </row>
    <row r="97">
      <c r="A97" s="126">
        <v>93.0</v>
      </c>
      <c r="B97" s="126" t="s">
        <v>285</v>
      </c>
      <c r="C97" s="245" t="s">
        <v>151</v>
      </c>
      <c r="D97" s="245">
        <v>15.0</v>
      </c>
      <c r="E97" s="282" t="s">
        <v>64</v>
      </c>
      <c r="F97" s="246" t="s">
        <v>544</v>
      </c>
      <c r="G97" s="222" t="s">
        <v>53</v>
      </c>
      <c r="H97" s="245" t="s">
        <v>191</v>
      </c>
      <c r="I97" s="245" t="s">
        <v>190</v>
      </c>
      <c r="J97" s="249" t="s">
        <v>505</v>
      </c>
      <c r="K97" s="208"/>
      <c r="L97" s="208"/>
      <c r="M97" s="208"/>
      <c r="N97" s="208"/>
      <c r="O97" s="208"/>
      <c r="P97" s="208"/>
      <c r="Q97" s="208"/>
      <c r="R97" s="249" t="s">
        <v>546</v>
      </c>
    </row>
    <row r="98">
      <c r="A98" s="126">
        <v>94.0</v>
      </c>
      <c r="B98" s="126" t="s">
        <v>285</v>
      </c>
      <c r="C98" s="222" t="s">
        <v>151</v>
      </c>
      <c r="D98" s="222">
        <v>18.0</v>
      </c>
      <c r="E98" s="292" t="s">
        <v>549</v>
      </c>
      <c r="F98" s="223" t="s">
        <v>508</v>
      </c>
      <c r="G98" s="222" t="s">
        <v>24</v>
      </c>
      <c r="H98" s="222" t="s">
        <v>316</v>
      </c>
      <c r="I98" s="222" t="s">
        <v>202</v>
      </c>
      <c r="J98" s="279" t="s">
        <v>550</v>
      </c>
      <c r="K98" s="208"/>
      <c r="L98" s="208"/>
      <c r="M98" s="208"/>
      <c r="N98" s="208"/>
      <c r="O98" s="208"/>
      <c r="P98" s="208"/>
      <c r="Q98" s="208"/>
      <c r="R98" s="230" t="s">
        <v>512</v>
      </c>
    </row>
    <row r="99">
      <c r="A99" s="126">
        <v>95.0</v>
      </c>
      <c r="B99" s="126" t="s">
        <v>285</v>
      </c>
      <c r="C99" s="222" t="s">
        <v>151</v>
      </c>
      <c r="D99" s="222">
        <v>20.0</v>
      </c>
      <c r="E99" s="222">
        <v>28.0</v>
      </c>
      <c r="F99" s="246" t="s">
        <v>556</v>
      </c>
      <c r="G99" s="222" t="s">
        <v>422</v>
      </c>
      <c r="H99" s="222" t="s">
        <v>396</v>
      </c>
      <c r="I99" s="222" t="s">
        <v>413</v>
      </c>
      <c r="J99" s="279" t="s">
        <v>518</v>
      </c>
      <c r="K99" s="208"/>
      <c r="L99" s="208"/>
      <c r="M99" s="208"/>
      <c r="N99" s="208"/>
      <c r="O99" s="208"/>
      <c r="P99" s="208"/>
      <c r="Q99" s="208"/>
      <c r="R99" s="249" t="s">
        <v>561</v>
      </c>
    </row>
    <row r="100">
      <c r="A100" s="126">
        <v>96.0</v>
      </c>
      <c r="B100" s="126" t="s">
        <v>285</v>
      </c>
      <c r="C100" s="245" t="s">
        <v>151</v>
      </c>
      <c r="D100" s="245">
        <v>20.0</v>
      </c>
      <c r="E100" s="245">
        <v>32.0</v>
      </c>
      <c r="F100" s="246" t="s">
        <v>562</v>
      </c>
      <c r="G100" s="222" t="s">
        <v>53</v>
      </c>
      <c r="H100" s="245" t="s">
        <v>164</v>
      </c>
      <c r="I100" s="245" t="s">
        <v>288</v>
      </c>
      <c r="J100" s="249" t="s">
        <v>523</v>
      </c>
      <c r="K100" s="208"/>
      <c r="L100" s="208"/>
      <c r="M100" s="208"/>
      <c r="N100" s="208"/>
      <c r="O100" s="208"/>
      <c r="P100" s="208"/>
      <c r="Q100" s="208"/>
      <c r="R100" s="249" t="s">
        <v>566</v>
      </c>
    </row>
    <row r="101">
      <c r="A101" s="126">
        <v>97.0</v>
      </c>
      <c r="B101" s="126" t="s">
        <v>285</v>
      </c>
      <c r="C101" s="245" t="s">
        <v>151</v>
      </c>
      <c r="D101" s="245">
        <v>21.0</v>
      </c>
      <c r="E101" s="245" t="s">
        <v>228</v>
      </c>
      <c r="F101" s="246" t="s">
        <v>568</v>
      </c>
      <c r="G101" s="222" t="s">
        <v>53</v>
      </c>
      <c r="H101" s="245" t="s">
        <v>161</v>
      </c>
      <c r="I101" s="245" t="s">
        <v>197</v>
      </c>
      <c r="J101" s="249" t="s">
        <v>528</v>
      </c>
      <c r="K101" s="208"/>
      <c r="L101" s="208"/>
      <c r="M101" s="208"/>
      <c r="N101" s="208"/>
      <c r="O101" s="208"/>
      <c r="P101" s="208"/>
      <c r="Q101" s="208"/>
      <c r="R101" s="249" t="s">
        <v>574</v>
      </c>
    </row>
    <row r="102">
      <c r="A102" s="126">
        <v>98.0</v>
      </c>
      <c r="B102" s="126" t="s">
        <v>285</v>
      </c>
      <c r="C102" s="245" t="s">
        <v>151</v>
      </c>
      <c r="D102" s="245">
        <v>21.0</v>
      </c>
      <c r="E102" s="245">
        <v>26.0</v>
      </c>
      <c r="F102" s="246" t="s">
        <v>575</v>
      </c>
      <c r="G102" s="245" t="s">
        <v>53</v>
      </c>
      <c r="H102" s="245" t="s">
        <v>191</v>
      </c>
      <c r="I102" s="245" t="s">
        <v>447</v>
      </c>
      <c r="J102" s="249" t="s">
        <v>532</v>
      </c>
      <c r="K102" s="208"/>
      <c r="L102" s="208"/>
      <c r="M102" s="208"/>
      <c r="N102" s="208"/>
      <c r="O102" s="208"/>
      <c r="P102" s="208"/>
      <c r="Q102" s="208"/>
      <c r="R102" s="249" t="s">
        <v>582</v>
      </c>
    </row>
    <row r="103">
      <c r="A103" s="126">
        <v>99.0</v>
      </c>
      <c r="B103" s="126" t="s">
        <v>285</v>
      </c>
      <c r="C103" s="245" t="s">
        <v>151</v>
      </c>
      <c r="D103" s="245">
        <v>21.0</v>
      </c>
      <c r="E103" s="245">
        <v>33.0</v>
      </c>
      <c r="F103" s="246" t="s">
        <v>584</v>
      </c>
      <c r="G103" s="222" t="s">
        <v>53</v>
      </c>
      <c r="H103" s="245" t="s">
        <v>360</v>
      </c>
      <c r="I103" s="245" t="s">
        <v>145</v>
      </c>
      <c r="J103" s="249" t="s">
        <v>535</v>
      </c>
      <c r="K103" s="208"/>
      <c r="L103" s="208"/>
      <c r="M103" s="208"/>
      <c r="N103" s="208"/>
      <c r="O103" s="208"/>
      <c r="P103" s="208"/>
      <c r="Q103" s="208"/>
      <c r="R103" s="249" t="s">
        <v>589</v>
      </c>
    </row>
    <row r="104">
      <c r="A104" s="126">
        <v>100.0</v>
      </c>
      <c r="B104" s="126" t="s">
        <v>285</v>
      </c>
      <c r="C104" s="222" t="s">
        <v>151</v>
      </c>
      <c r="D104" s="222">
        <v>23.0</v>
      </c>
      <c r="E104" s="222">
        <v>18.0</v>
      </c>
      <c r="F104" s="223" t="s">
        <v>537</v>
      </c>
      <c r="G104" s="222" t="s">
        <v>89</v>
      </c>
      <c r="H104" s="222" t="s">
        <v>425</v>
      </c>
      <c r="I104" s="222" t="s">
        <v>426</v>
      </c>
      <c r="J104" s="279" t="s">
        <v>539</v>
      </c>
      <c r="K104" s="208"/>
      <c r="L104" s="208"/>
      <c r="M104" s="208"/>
      <c r="N104" s="208"/>
      <c r="O104" s="208"/>
      <c r="P104" s="208"/>
      <c r="Q104" s="208"/>
      <c r="R104" s="230" t="s">
        <v>540</v>
      </c>
    </row>
    <row r="105">
      <c r="A105" s="126">
        <v>101.0</v>
      </c>
      <c r="B105" s="126" t="s">
        <v>285</v>
      </c>
      <c r="C105" s="222" t="s">
        <v>151</v>
      </c>
      <c r="D105" s="222">
        <v>23.0</v>
      </c>
      <c r="E105" s="222">
        <v>19.0</v>
      </c>
      <c r="F105" s="249" t="s">
        <v>517</v>
      </c>
      <c r="G105" s="222" t="s">
        <v>89</v>
      </c>
      <c r="H105" s="222" t="s">
        <v>425</v>
      </c>
      <c r="I105" s="224" t="s">
        <v>470</v>
      </c>
      <c r="J105" s="303" t="s">
        <v>471</v>
      </c>
      <c r="K105" s="208"/>
      <c r="L105" s="208"/>
      <c r="M105" s="208"/>
      <c r="N105" s="208"/>
      <c r="O105" s="208"/>
      <c r="P105" s="208"/>
      <c r="Q105" s="208"/>
      <c r="R105" s="309" t="s">
        <v>517</v>
      </c>
    </row>
    <row r="106">
      <c r="A106" s="126">
        <v>102.0</v>
      </c>
      <c r="B106" s="126" t="s">
        <v>285</v>
      </c>
      <c r="C106" s="222" t="s">
        <v>151</v>
      </c>
      <c r="D106" s="222">
        <v>24.0</v>
      </c>
      <c r="E106" s="222">
        <v>20.0</v>
      </c>
      <c r="F106" s="223" t="s">
        <v>545</v>
      </c>
      <c r="G106" s="222" t="s">
        <v>53</v>
      </c>
      <c r="H106" s="222" t="s">
        <v>161</v>
      </c>
      <c r="I106" s="222" t="s">
        <v>129</v>
      </c>
      <c r="J106" s="279" t="s">
        <v>547</v>
      </c>
      <c r="K106" s="208"/>
      <c r="L106" s="208"/>
      <c r="M106" s="208"/>
      <c r="N106" s="208"/>
      <c r="O106" s="208"/>
      <c r="P106" s="208"/>
      <c r="Q106" s="208"/>
      <c r="R106" s="230" t="s">
        <v>548</v>
      </c>
    </row>
    <row r="107">
      <c r="A107" s="126">
        <v>103.0</v>
      </c>
      <c r="B107" s="126" t="s">
        <v>285</v>
      </c>
      <c r="C107" s="222" t="s">
        <v>151</v>
      </c>
      <c r="D107" s="222">
        <v>24.0</v>
      </c>
      <c r="E107" s="222">
        <v>21.0</v>
      </c>
      <c r="F107" s="223" t="s">
        <v>553</v>
      </c>
      <c r="G107" s="222" t="s">
        <v>53</v>
      </c>
      <c r="H107" s="222" t="s">
        <v>161</v>
      </c>
      <c r="I107" s="222" t="s">
        <v>76</v>
      </c>
      <c r="J107" s="279" t="s">
        <v>554</v>
      </c>
      <c r="K107" s="208"/>
      <c r="L107" s="208"/>
      <c r="M107" s="208"/>
      <c r="N107" s="208"/>
      <c r="O107" s="208"/>
      <c r="P107" s="208"/>
      <c r="Q107" s="208"/>
      <c r="R107" s="230" t="s">
        <v>555</v>
      </c>
    </row>
    <row r="108">
      <c r="A108" s="126">
        <v>104.0</v>
      </c>
      <c r="B108" s="126" t="s">
        <v>272</v>
      </c>
      <c r="C108" s="315" t="s">
        <v>609</v>
      </c>
      <c r="D108" s="315" t="s">
        <v>240</v>
      </c>
      <c r="E108" s="315">
        <v>9.0</v>
      </c>
      <c r="F108" s="315" t="s">
        <v>557</v>
      </c>
      <c r="G108" s="315" t="s">
        <v>53</v>
      </c>
      <c r="H108" s="315">
        <v>54.0</v>
      </c>
      <c r="I108" s="315">
        <v>58.5</v>
      </c>
      <c r="J108" s="315" t="s">
        <v>559</v>
      </c>
      <c r="K108" s="37"/>
    </row>
    <row r="109">
      <c r="A109" s="126">
        <v>105.0</v>
      </c>
      <c r="B109" s="126" t="s">
        <v>272</v>
      </c>
      <c r="C109" s="315" t="s">
        <v>609</v>
      </c>
      <c r="D109" s="315" t="s">
        <v>240</v>
      </c>
      <c r="E109" s="315">
        <v>41.0</v>
      </c>
      <c r="F109" s="315" t="s">
        <v>563</v>
      </c>
      <c r="G109" s="315" t="s">
        <v>53</v>
      </c>
      <c r="H109" s="315">
        <v>52.2</v>
      </c>
      <c r="I109" s="315">
        <v>56.7</v>
      </c>
      <c r="J109" s="315" t="s">
        <v>564</v>
      </c>
      <c r="K109" s="37"/>
    </row>
    <row r="110">
      <c r="A110" s="126">
        <v>106.0</v>
      </c>
      <c r="B110" s="126" t="s">
        <v>272</v>
      </c>
      <c r="C110" s="315" t="s">
        <v>609</v>
      </c>
      <c r="D110" s="315" t="s">
        <v>240</v>
      </c>
      <c r="E110" s="315">
        <v>43.0</v>
      </c>
      <c r="F110" s="315" t="s">
        <v>565</v>
      </c>
      <c r="G110" s="315" t="s">
        <v>53</v>
      </c>
      <c r="H110" s="315">
        <v>55.7</v>
      </c>
      <c r="I110" s="315">
        <v>60.3</v>
      </c>
      <c r="J110" s="315" t="s">
        <v>567</v>
      </c>
      <c r="K110" s="37"/>
    </row>
    <row r="111">
      <c r="A111" s="126">
        <v>107.0</v>
      </c>
      <c r="B111" s="126" t="s">
        <v>272</v>
      </c>
      <c r="C111" s="315" t="s">
        <v>609</v>
      </c>
      <c r="D111" s="315" t="s">
        <v>240</v>
      </c>
      <c r="E111" s="315">
        <v>42.0</v>
      </c>
      <c r="F111" s="315" t="s">
        <v>570</v>
      </c>
      <c r="G111" s="315" t="s">
        <v>53</v>
      </c>
      <c r="H111" s="315">
        <v>58.4</v>
      </c>
      <c r="I111" s="315">
        <v>60.3</v>
      </c>
      <c r="J111" s="315" t="s">
        <v>571</v>
      </c>
      <c r="K111" s="37"/>
    </row>
    <row r="112">
      <c r="A112" s="126">
        <v>108.0</v>
      </c>
      <c r="B112" s="126" t="s">
        <v>272</v>
      </c>
      <c r="C112" s="315" t="s">
        <v>609</v>
      </c>
      <c r="D112" s="315">
        <v>6.0</v>
      </c>
      <c r="E112" s="315">
        <v>34.0</v>
      </c>
      <c r="F112" s="315" t="s">
        <v>572</v>
      </c>
      <c r="G112" s="315" t="s">
        <v>89</v>
      </c>
      <c r="H112" s="315">
        <v>28.9</v>
      </c>
      <c r="I112" s="315">
        <v>32.7</v>
      </c>
      <c r="J112" s="315" t="s">
        <v>573</v>
      </c>
      <c r="K112" s="37"/>
    </row>
    <row r="113">
      <c r="A113" s="126">
        <v>109.0</v>
      </c>
      <c r="B113" s="126" t="s">
        <v>272</v>
      </c>
      <c r="C113" s="315" t="s">
        <v>609</v>
      </c>
      <c r="D113" s="315">
        <v>9.0</v>
      </c>
      <c r="E113" s="315">
        <v>31.0</v>
      </c>
      <c r="F113" s="315" t="s">
        <v>576</v>
      </c>
      <c r="G113" s="315" t="s">
        <v>53</v>
      </c>
      <c r="H113" s="315">
        <v>54.0</v>
      </c>
      <c r="I113" s="315">
        <v>58.5</v>
      </c>
      <c r="J113" s="315" t="s">
        <v>579</v>
      </c>
      <c r="K113" s="37"/>
    </row>
    <row r="114">
      <c r="A114" s="126">
        <v>110.0</v>
      </c>
      <c r="B114" s="126" t="s">
        <v>272</v>
      </c>
      <c r="C114" s="315" t="s">
        <v>609</v>
      </c>
      <c r="D114" s="315">
        <v>9.0</v>
      </c>
      <c r="E114" s="315">
        <v>33.0</v>
      </c>
      <c r="F114" s="315" t="s">
        <v>580</v>
      </c>
      <c r="G114" s="315" t="s">
        <v>53</v>
      </c>
      <c r="H114" s="315">
        <v>53.7</v>
      </c>
      <c r="I114" s="315">
        <v>59.1</v>
      </c>
      <c r="J114" s="315" t="s">
        <v>581</v>
      </c>
      <c r="K114" s="37"/>
    </row>
    <row r="115">
      <c r="A115" s="126">
        <v>111.0</v>
      </c>
      <c r="B115" s="126" t="s">
        <v>272</v>
      </c>
      <c r="C115" s="315" t="s">
        <v>609</v>
      </c>
      <c r="D115" s="315">
        <v>15.0</v>
      </c>
      <c r="E115" s="315">
        <v>8.0</v>
      </c>
      <c r="F115" s="315" t="s">
        <v>583</v>
      </c>
      <c r="G115" s="315" t="s">
        <v>53</v>
      </c>
      <c r="H115" s="315">
        <v>58.7</v>
      </c>
      <c r="I115" s="315">
        <v>61.2</v>
      </c>
      <c r="J115" s="315" t="s">
        <v>585</v>
      </c>
      <c r="K115" s="37"/>
    </row>
    <row r="116">
      <c r="A116" s="126">
        <v>112.0</v>
      </c>
      <c r="B116" s="126" t="s">
        <v>272</v>
      </c>
      <c r="C116" s="315" t="s">
        <v>609</v>
      </c>
      <c r="D116" s="315">
        <v>16.0</v>
      </c>
      <c r="E116" s="315">
        <v>5.0</v>
      </c>
      <c r="F116" s="315" t="s">
        <v>587</v>
      </c>
      <c r="G116" s="315" t="s">
        <v>53</v>
      </c>
      <c r="H116" s="315">
        <v>54.6</v>
      </c>
      <c r="I116" s="315">
        <v>59.1</v>
      </c>
      <c r="J116" s="315" t="s">
        <v>588</v>
      </c>
      <c r="K116" s="37"/>
    </row>
    <row r="117">
      <c r="A117" s="126">
        <v>113.0</v>
      </c>
      <c r="B117" s="126" t="s">
        <v>272</v>
      </c>
      <c r="C117" s="315" t="s">
        <v>609</v>
      </c>
      <c r="D117" s="315">
        <v>17.0</v>
      </c>
      <c r="E117" s="315">
        <v>2.0</v>
      </c>
      <c r="F117" s="315" t="s">
        <v>590</v>
      </c>
      <c r="G117" s="315" t="s">
        <v>53</v>
      </c>
      <c r="H117" s="315">
        <v>52.8</v>
      </c>
      <c r="I117" s="315">
        <v>58.5</v>
      </c>
      <c r="J117" s="315" t="s">
        <v>591</v>
      </c>
      <c r="K117" s="37"/>
    </row>
    <row r="118">
      <c r="A118" s="126">
        <v>114.0</v>
      </c>
      <c r="B118" s="126" t="s">
        <v>272</v>
      </c>
      <c r="C118" s="315" t="s">
        <v>609</v>
      </c>
      <c r="D118" s="315">
        <v>18.0</v>
      </c>
      <c r="E118" s="315">
        <v>38.0</v>
      </c>
      <c r="F118" s="315" t="s">
        <v>592</v>
      </c>
      <c r="G118" s="315" t="s">
        <v>53</v>
      </c>
      <c r="H118" s="315">
        <v>54.1</v>
      </c>
      <c r="I118" s="315">
        <v>58.5</v>
      </c>
      <c r="J118" s="315" t="s">
        <v>593</v>
      </c>
      <c r="K118" s="37"/>
    </row>
    <row r="119">
      <c r="A119" s="126">
        <v>115.0</v>
      </c>
      <c r="B119" s="126" t="s">
        <v>272</v>
      </c>
      <c r="C119" s="315" t="s">
        <v>609</v>
      </c>
      <c r="D119" s="315">
        <v>20.0</v>
      </c>
      <c r="E119" s="315">
        <v>39.0</v>
      </c>
      <c r="F119" s="315" t="s">
        <v>595</v>
      </c>
      <c r="G119" s="315" t="s">
        <v>24</v>
      </c>
      <c r="H119" s="315">
        <v>66.3</v>
      </c>
      <c r="I119" s="315">
        <v>72.0</v>
      </c>
      <c r="J119" s="315" t="s">
        <v>596</v>
      </c>
      <c r="K119" s="37"/>
    </row>
    <row r="120">
      <c r="A120" s="126">
        <v>116.0</v>
      </c>
      <c r="B120" s="126" t="s">
        <v>272</v>
      </c>
      <c r="C120" s="315" t="s">
        <v>22</v>
      </c>
      <c r="D120" s="315" t="s">
        <v>35</v>
      </c>
      <c r="E120" s="315">
        <v>22.0</v>
      </c>
      <c r="F120" s="315" t="s">
        <v>597</v>
      </c>
      <c r="G120" s="315" t="s">
        <v>53</v>
      </c>
      <c r="H120" s="315">
        <v>53.9</v>
      </c>
      <c r="I120" s="315">
        <v>58.5</v>
      </c>
      <c r="J120" s="315" t="s">
        <v>598</v>
      </c>
      <c r="K120" s="37"/>
    </row>
    <row r="121">
      <c r="A121" s="126">
        <v>117.0</v>
      </c>
      <c r="B121" s="126" t="s">
        <v>272</v>
      </c>
      <c r="C121" s="315" t="s">
        <v>22</v>
      </c>
      <c r="D121" s="315" t="s">
        <v>35</v>
      </c>
      <c r="E121" s="315">
        <v>25.0</v>
      </c>
      <c r="F121" s="315" t="s">
        <v>600</v>
      </c>
      <c r="G121" s="315" t="s">
        <v>53</v>
      </c>
      <c r="H121" s="315">
        <v>58.0</v>
      </c>
      <c r="I121" s="315">
        <v>62.6</v>
      </c>
      <c r="J121" s="315" t="s">
        <v>601</v>
      </c>
      <c r="K121" s="37"/>
    </row>
    <row r="122">
      <c r="A122" s="126">
        <v>118.0</v>
      </c>
      <c r="B122" s="126" t="s">
        <v>272</v>
      </c>
      <c r="C122" s="315" t="s">
        <v>22</v>
      </c>
      <c r="D122" s="315">
        <v>18.0</v>
      </c>
      <c r="E122" s="315">
        <v>31.0</v>
      </c>
      <c r="F122" s="315" t="s">
        <v>602</v>
      </c>
      <c r="G122" s="315" t="s">
        <v>53</v>
      </c>
      <c r="H122" s="315">
        <v>50.0</v>
      </c>
      <c r="I122" s="315">
        <v>54.2</v>
      </c>
      <c r="J122" s="315" t="s">
        <v>603</v>
      </c>
      <c r="K122" s="37"/>
    </row>
    <row r="123">
      <c r="A123" s="126">
        <v>119.0</v>
      </c>
      <c r="B123" s="126" t="s">
        <v>272</v>
      </c>
      <c r="C123" s="315" t="s">
        <v>22</v>
      </c>
      <c r="D123" s="315">
        <v>25.0</v>
      </c>
      <c r="E123" s="315">
        <v>25.0</v>
      </c>
      <c r="F123" s="315" t="s">
        <v>604</v>
      </c>
      <c r="G123" s="315" t="s">
        <v>53</v>
      </c>
      <c r="H123" s="315">
        <v>58.0</v>
      </c>
      <c r="I123" s="315">
        <v>62.6</v>
      </c>
      <c r="J123" s="315" t="s">
        <v>605</v>
      </c>
      <c r="K123" s="37"/>
    </row>
    <row r="124">
      <c r="A124" s="126">
        <v>120.0</v>
      </c>
      <c r="B124" s="126" t="s">
        <v>272</v>
      </c>
      <c r="C124" s="315" t="s">
        <v>151</v>
      </c>
      <c r="D124" s="315">
        <v>6.0</v>
      </c>
      <c r="E124" s="315">
        <v>9.0</v>
      </c>
      <c r="F124" s="315" t="s">
        <v>607</v>
      </c>
      <c r="G124" s="315" t="s">
        <v>24</v>
      </c>
      <c r="H124" s="315">
        <v>75.3</v>
      </c>
      <c r="I124" s="315">
        <v>81.2</v>
      </c>
      <c r="J124" s="315" t="s">
        <v>608</v>
      </c>
      <c r="K124" s="37"/>
    </row>
    <row r="125">
      <c r="A125" s="126">
        <v>121.0</v>
      </c>
      <c r="B125" s="126" t="s">
        <v>272</v>
      </c>
      <c r="C125" s="315" t="s">
        <v>151</v>
      </c>
      <c r="D125" s="315">
        <v>6.0</v>
      </c>
      <c r="E125" s="315">
        <v>34.0</v>
      </c>
      <c r="F125" s="315" t="s">
        <v>610</v>
      </c>
      <c r="G125" s="315" t="s">
        <v>24</v>
      </c>
      <c r="H125" s="315">
        <v>75.3</v>
      </c>
      <c r="I125" s="315">
        <v>81.2</v>
      </c>
      <c r="J125" s="315" t="s">
        <v>608</v>
      </c>
      <c r="K125" s="37"/>
    </row>
    <row r="126">
      <c r="A126" s="126">
        <v>122.0</v>
      </c>
      <c r="B126" s="126" t="s">
        <v>272</v>
      </c>
      <c r="C126" s="315" t="s">
        <v>151</v>
      </c>
      <c r="D126" s="315" t="s">
        <v>35</v>
      </c>
      <c r="E126" s="315">
        <v>1.0</v>
      </c>
      <c r="F126" s="315" t="s">
        <v>611</v>
      </c>
      <c r="G126" s="315" t="s">
        <v>53</v>
      </c>
      <c r="H126" s="315">
        <v>58.0</v>
      </c>
      <c r="I126" s="315">
        <v>62.6</v>
      </c>
      <c r="J126" s="315" t="s">
        <v>613</v>
      </c>
      <c r="K126" s="37"/>
    </row>
    <row r="127">
      <c r="A127" s="126">
        <v>123.0</v>
      </c>
      <c r="B127" s="126" t="s">
        <v>272</v>
      </c>
      <c r="C127" s="315" t="s">
        <v>151</v>
      </c>
      <c r="D127" s="315" t="s">
        <v>35</v>
      </c>
      <c r="E127" s="315">
        <v>2.0</v>
      </c>
      <c r="F127" s="315" t="s">
        <v>645</v>
      </c>
      <c r="G127" s="315" t="s">
        <v>53</v>
      </c>
      <c r="H127" s="315">
        <v>58.1</v>
      </c>
      <c r="I127" s="315">
        <v>62.6</v>
      </c>
      <c r="J127" s="315" t="s">
        <v>615</v>
      </c>
      <c r="K127" s="37"/>
    </row>
    <row r="128">
      <c r="A128" s="126">
        <v>124.0</v>
      </c>
      <c r="B128" s="126" t="s">
        <v>272</v>
      </c>
      <c r="C128" s="315" t="s">
        <v>151</v>
      </c>
      <c r="D128" s="315">
        <v>22.0</v>
      </c>
      <c r="E128" s="315">
        <v>31.0</v>
      </c>
      <c r="F128" s="315" t="s">
        <v>616</v>
      </c>
      <c r="G128" s="315" t="s">
        <v>24</v>
      </c>
      <c r="H128" s="315">
        <v>72.6</v>
      </c>
      <c r="I128" s="315">
        <v>80.5</v>
      </c>
      <c r="J128" s="315" t="s">
        <v>617</v>
      </c>
      <c r="K128" s="37"/>
    </row>
    <row r="129">
      <c r="A129" s="126">
        <v>125.0</v>
      </c>
      <c r="B129" s="126" t="s">
        <v>272</v>
      </c>
      <c r="C129" s="315" t="s">
        <v>151</v>
      </c>
      <c r="D129" s="315">
        <v>23.0</v>
      </c>
      <c r="E129" s="315">
        <v>31.0</v>
      </c>
      <c r="F129" s="315" t="s">
        <v>619</v>
      </c>
      <c r="G129" s="315" t="s">
        <v>24</v>
      </c>
      <c r="H129" s="315">
        <v>72.6</v>
      </c>
      <c r="I129" s="315">
        <v>80.5</v>
      </c>
      <c r="J129" s="315" t="s">
        <v>620</v>
      </c>
      <c r="K129" s="37"/>
    </row>
    <row r="130">
      <c r="A130" s="126">
        <v>126.0</v>
      </c>
      <c r="B130" s="126" t="s">
        <v>272</v>
      </c>
      <c r="C130" s="315" t="s">
        <v>151</v>
      </c>
      <c r="D130" s="315">
        <v>24.0</v>
      </c>
      <c r="E130" s="315">
        <v>1.0</v>
      </c>
      <c r="F130" s="315" t="s">
        <v>621</v>
      </c>
      <c r="G130" s="315" t="s">
        <v>53</v>
      </c>
      <c r="H130" s="315">
        <v>58.0</v>
      </c>
      <c r="I130" s="315">
        <v>62.6</v>
      </c>
      <c r="J130" s="315" t="s">
        <v>622</v>
      </c>
      <c r="K130" s="37"/>
    </row>
    <row r="131">
      <c r="A131" s="126">
        <v>127.0</v>
      </c>
      <c r="B131" s="126" t="s">
        <v>272</v>
      </c>
      <c r="C131" s="315" t="s">
        <v>151</v>
      </c>
      <c r="D131" s="315">
        <v>24.0</v>
      </c>
      <c r="E131" s="315">
        <v>2.0</v>
      </c>
      <c r="F131" s="315" t="s">
        <v>623</v>
      </c>
      <c r="G131" s="315" t="s">
        <v>53</v>
      </c>
      <c r="H131" s="315">
        <v>58.1</v>
      </c>
      <c r="I131" s="315">
        <v>62.6</v>
      </c>
      <c r="J131" s="315" t="s">
        <v>624</v>
      </c>
      <c r="K131" s="37"/>
    </row>
    <row r="132">
      <c r="A132" s="126">
        <v>128.0</v>
      </c>
      <c r="B132" s="126" t="s">
        <v>272</v>
      </c>
      <c r="C132" s="315" t="s">
        <v>151</v>
      </c>
      <c r="D132" s="315">
        <v>24.0</v>
      </c>
      <c r="E132" s="315">
        <v>3.0</v>
      </c>
      <c r="F132" s="315" t="s">
        <v>626</v>
      </c>
      <c r="G132" s="315" t="s">
        <v>53</v>
      </c>
      <c r="H132" s="315">
        <v>54.2</v>
      </c>
      <c r="I132" s="315">
        <v>58.5</v>
      </c>
      <c r="J132" s="315" t="s">
        <v>627</v>
      </c>
      <c r="K132" s="37"/>
    </row>
    <row r="133">
      <c r="A133" s="126">
        <v>129.0</v>
      </c>
      <c r="B133" s="126" t="s">
        <v>272</v>
      </c>
      <c r="C133" s="315" t="s">
        <v>151</v>
      </c>
      <c r="D133" s="315">
        <v>24.0</v>
      </c>
      <c r="E133" s="315">
        <v>30.0</v>
      </c>
      <c r="F133" s="315" t="s">
        <v>628</v>
      </c>
      <c r="G133" s="315" t="s">
        <v>53</v>
      </c>
      <c r="H133" s="315">
        <v>54.0</v>
      </c>
      <c r="I133" s="315">
        <v>58.5</v>
      </c>
      <c r="J133" s="315" t="s">
        <v>629</v>
      </c>
      <c r="K133" s="37"/>
    </row>
    <row r="134">
      <c r="A134" s="126">
        <v>130.0</v>
      </c>
      <c r="B134" s="126" t="s">
        <v>272</v>
      </c>
      <c r="C134" s="315" t="s">
        <v>51</v>
      </c>
      <c r="D134" s="315">
        <v>5.0</v>
      </c>
      <c r="E134" s="315">
        <v>30.0</v>
      </c>
      <c r="F134" s="315" t="s">
        <v>630</v>
      </c>
      <c r="G134" s="315" t="s">
        <v>24</v>
      </c>
      <c r="H134" s="315">
        <v>76.0</v>
      </c>
      <c r="I134" s="315">
        <v>85.3</v>
      </c>
      <c r="J134" s="315" t="s">
        <v>631</v>
      </c>
      <c r="K134" s="37"/>
    </row>
    <row r="135">
      <c r="A135" s="126">
        <v>131.0</v>
      </c>
      <c r="B135" s="126" t="s">
        <v>272</v>
      </c>
      <c r="C135" s="315" t="s">
        <v>51</v>
      </c>
      <c r="D135" s="315">
        <v>6.0</v>
      </c>
      <c r="E135" s="315" t="s">
        <v>240</v>
      </c>
      <c r="F135" s="315" t="s">
        <v>633</v>
      </c>
      <c r="G135" s="315" t="s">
        <v>24</v>
      </c>
      <c r="H135" s="315">
        <v>72.0</v>
      </c>
      <c r="I135" s="315">
        <v>80.0</v>
      </c>
      <c r="J135" s="315" t="s">
        <v>634</v>
      </c>
      <c r="K135" s="37"/>
    </row>
    <row r="136">
      <c r="A136" s="126">
        <v>132.0</v>
      </c>
      <c r="B136" s="126" t="s">
        <v>272</v>
      </c>
      <c r="C136" s="315" t="s">
        <v>51</v>
      </c>
      <c r="D136" s="315">
        <v>16.0</v>
      </c>
      <c r="E136" s="315">
        <v>23.0</v>
      </c>
      <c r="F136" s="315" t="s">
        <v>635</v>
      </c>
      <c r="G136" s="315" t="s">
        <v>53</v>
      </c>
      <c r="H136" s="315">
        <v>54.4</v>
      </c>
      <c r="I136" s="315">
        <v>60.8</v>
      </c>
      <c r="J136" s="315" t="s">
        <v>636</v>
      </c>
      <c r="K136" s="37"/>
    </row>
    <row r="137" ht="33.75" customHeight="1">
      <c r="A137" s="126">
        <v>133.0</v>
      </c>
      <c r="B137" s="126" t="s">
        <v>272</v>
      </c>
      <c r="C137" s="315" t="s">
        <v>51</v>
      </c>
      <c r="D137" s="315">
        <v>6.0</v>
      </c>
      <c r="E137" s="315">
        <v>38.0</v>
      </c>
      <c r="F137" s="315" t="s">
        <v>637</v>
      </c>
      <c r="G137" s="315" t="s">
        <v>53</v>
      </c>
      <c r="H137" s="315">
        <v>54.1</v>
      </c>
      <c r="I137" s="315">
        <v>59.0</v>
      </c>
      <c r="J137" s="329" t="s">
        <v>665</v>
      </c>
      <c r="K137" s="37"/>
    </row>
    <row r="138" ht="27.75" customHeight="1">
      <c r="A138" s="126">
        <v>134.0</v>
      </c>
      <c r="B138" s="126" t="s">
        <v>272</v>
      </c>
      <c r="C138" s="315" t="s">
        <v>51</v>
      </c>
      <c r="D138" s="315" t="s">
        <v>240</v>
      </c>
      <c r="E138" s="315">
        <v>3.0</v>
      </c>
      <c r="F138" s="315" t="s">
        <v>640</v>
      </c>
      <c r="G138" s="315" t="s">
        <v>53</v>
      </c>
      <c r="H138" s="315">
        <v>53.9</v>
      </c>
      <c r="I138" s="315">
        <v>592.0</v>
      </c>
      <c r="J138" s="329" t="s">
        <v>641</v>
      </c>
      <c r="K138" s="37"/>
    </row>
    <row r="139">
      <c r="A139" s="126">
        <v>135.0</v>
      </c>
      <c r="B139" s="126" t="s">
        <v>272</v>
      </c>
      <c r="C139" s="315" t="s">
        <v>51</v>
      </c>
      <c r="D139" s="315">
        <v>5.0</v>
      </c>
      <c r="E139" s="315">
        <v>5.0</v>
      </c>
      <c r="F139" s="315" t="s">
        <v>642</v>
      </c>
      <c r="G139" s="315" t="s">
        <v>53</v>
      </c>
      <c r="H139" s="315">
        <v>53.8</v>
      </c>
      <c r="I139" s="330"/>
      <c r="J139" s="315" t="s">
        <v>644</v>
      </c>
      <c r="K139" s="37"/>
    </row>
    <row r="140">
      <c r="A140" s="126">
        <v>136.0</v>
      </c>
      <c r="B140" s="126" t="s">
        <v>272</v>
      </c>
      <c r="C140" s="315" t="s">
        <v>51</v>
      </c>
      <c r="D140" s="315">
        <v>9.0</v>
      </c>
      <c r="E140" s="315" t="s">
        <v>240</v>
      </c>
      <c r="F140" s="315" t="s">
        <v>646</v>
      </c>
      <c r="G140" s="315" t="s">
        <v>24</v>
      </c>
      <c r="H140" s="315">
        <v>72.0</v>
      </c>
      <c r="I140" s="315">
        <v>80.0</v>
      </c>
      <c r="J140" s="315" t="s">
        <v>647</v>
      </c>
      <c r="K140" s="37"/>
    </row>
    <row r="141">
      <c r="A141" s="126">
        <v>137.0</v>
      </c>
      <c r="B141" s="126" t="s">
        <v>272</v>
      </c>
      <c r="C141" s="315" t="s">
        <v>51</v>
      </c>
      <c r="D141" s="315">
        <v>9.0</v>
      </c>
      <c r="E141" s="315">
        <v>23.0</v>
      </c>
      <c r="F141" s="315" t="s">
        <v>648</v>
      </c>
      <c r="G141" s="315" t="s">
        <v>53</v>
      </c>
      <c r="H141" s="315">
        <v>54.4</v>
      </c>
      <c r="I141" s="315">
        <v>60.8</v>
      </c>
      <c r="J141" s="315" t="s">
        <v>650</v>
      </c>
      <c r="K141" s="37"/>
    </row>
    <row r="142">
      <c r="A142" s="126">
        <v>138.0</v>
      </c>
      <c r="B142" s="126" t="s">
        <v>272</v>
      </c>
      <c r="C142" s="315" t="s">
        <v>51</v>
      </c>
      <c r="D142" s="315">
        <v>7.0</v>
      </c>
      <c r="E142" s="315">
        <v>0.0</v>
      </c>
      <c r="F142" s="315" t="s">
        <v>651</v>
      </c>
      <c r="G142" s="315" t="s">
        <v>24</v>
      </c>
      <c r="H142" s="315">
        <v>68.7</v>
      </c>
      <c r="I142" s="315">
        <v>74.6</v>
      </c>
      <c r="J142" s="315" t="s">
        <v>652</v>
      </c>
      <c r="K142" s="37"/>
    </row>
    <row r="143">
      <c r="A143" s="126">
        <v>139.0</v>
      </c>
      <c r="B143" s="126" t="s">
        <v>272</v>
      </c>
      <c r="C143" s="315" t="s">
        <v>51</v>
      </c>
      <c r="D143" s="315" t="s">
        <v>35</v>
      </c>
      <c r="E143" s="315">
        <v>18.0</v>
      </c>
      <c r="F143" s="315" t="s">
        <v>653</v>
      </c>
      <c r="G143" s="315" t="s">
        <v>53</v>
      </c>
      <c r="H143" s="315">
        <v>53.7</v>
      </c>
      <c r="I143" s="315">
        <v>59.2</v>
      </c>
      <c r="J143" s="315" t="s">
        <v>654</v>
      </c>
      <c r="K143" s="37"/>
    </row>
    <row r="144">
      <c r="A144" s="126">
        <v>140.0</v>
      </c>
      <c r="B144" s="126" t="s">
        <v>272</v>
      </c>
      <c r="C144" s="315" t="s">
        <v>51</v>
      </c>
      <c r="D144" s="315" t="s">
        <v>35</v>
      </c>
      <c r="E144" s="315">
        <v>24.0</v>
      </c>
      <c r="F144" s="315" t="s">
        <v>656</v>
      </c>
      <c r="G144" s="315" t="s">
        <v>24</v>
      </c>
      <c r="H144" s="315">
        <v>72.7</v>
      </c>
      <c r="I144" s="315">
        <v>82.2</v>
      </c>
      <c r="J144" s="315" t="s">
        <v>657</v>
      </c>
      <c r="K144" s="37"/>
    </row>
    <row r="145">
      <c r="A145" s="126">
        <v>141.0</v>
      </c>
      <c r="B145" s="126" t="s">
        <v>272</v>
      </c>
      <c r="C145" s="315" t="s">
        <v>51</v>
      </c>
      <c r="D145" s="315" t="s">
        <v>35</v>
      </c>
      <c r="E145" s="315">
        <v>29.0</v>
      </c>
      <c r="F145" s="315" t="s">
        <v>658</v>
      </c>
      <c r="G145" s="315" t="s">
        <v>53</v>
      </c>
      <c r="H145" s="315">
        <v>55.0</v>
      </c>
      <c r="I145" s="315">
        <v>61.0</v>
      </c>
      <c r="J145" s="315" t="s">
        <v>659</v>
      </c>
      <c r="K145" s="37"/>
    </row>
    <row r="146">
      <c r="A146" s="126">
        <v>142.0</v>
      </c>
      <c r="B146" s="126" t="s">
        <v>272</v>
      </c>
      <c r="C146" s="315" t="s">
        <v>51</v>
      </c>
      <c r="D146" s="315">
        <v>19.0</v>
      </c>
      <c r="E146" s="315">
        <v>1.0</v>
      </c>
      <c r="F146" s="315" t="s">
        <v>661</v>
      </c>
      <c r="G146" s="315" t="s">
        <v>53</v>
      </c>
      <c r="H146" s="315">
        <v>53.9</v>
      </c>
      <c r="I146" s="315">
        <v>59.2</v>
      </c>
      <c r="J146" s="315" t="s">
        <v>662</v>
      </c>
      <c r="K146" s="37"/>
    </row>
    <row r="147">
      <c r="A147" s="126">
        <v>143.0</v>
      </c>
      <c r="B147" s="126" t="s">
        <v>272</v>
      </c>
      <c r="C147" s="315" t="s">
        <v>51</v>
      </c>
      <c r="D147" s="315">
        <v>19.0</v>
      </c>
      <c r="E147" s="315">
        <v>24.0</v>
      </c>
      <c r="F147" s="315" t="s">
        <v>663</v>
      </c>
      <c r="G147" s="315" t="s">
        <v>24</v>
      </c>
      <c r="H147" s="315">
        <v>72.7</v>
      </c>
      <c r="I147" s="315">
        <v>82.2</v>
      </c>
      <c r="J147" s="315" t="s">
        <v>664</v>
      </c>
      <c r="K147" s="37"/>
    </row>
    <row r="148">
      <c r="A148" s="126">
        <v>144.0</v>
      </c>
      <c r="B148" s="126" t="s">
        <v>272</v>
      </c>
      <c r="C148" s="315" t="s">
        <v>51</v>
      </c>
      <c r="D148" s="315">
        <v>20.0</v>
      </c>
      <c r="E148" s="315">
        <v>17.0</v>
      </c>
      <c r="F148" s="315" t="s">
        <v>666</v>
      </c>
      <c r="G148" s="315" t="s">
        <v>24</v>
      </c>
      <c r="H148" s="315">
        <v>70.5</v>
      </c>
      <c r="I148" s="315">
        <v>80.1</v>
      </c>
      <c r="J148" s="315" t="s">
        <v>667</v>
      </c>
      <c r="K148" s="37"/>
    </row>
    <row r="149">
      <c r="A149" s="126">
        <v>145.0</v>
      </c>
      <c r="B149" s="126" t="s">
        <v>272</v>
      </c>
      <c r="C149" s="315" t="s">
        <v>51</v>
      </c>
      <c r="D149" s="315">
        <v>21.0</v>
      </c>
      <c r="E149" s="315">
        <v>28.0</v>
      </c>
      <c r="F149" s="315" t="s">
        <v>669</v>
      </c>
      <c r="G149" s="315" t="s">
        <v>24</v>
      </c>
      <c r="H149" s="315">
        <v>80.7</v>
      </c>
      <c r="I149" s="315">
        <v>88.6</v>
      </c>
      <c r="J149" s="315" t="s">
        <v>670</v>
      </c>
      <c r="K149" s="37"/>
    </row>
    <row r="150">
      <c r="A150" s="126">
        <v>146.0</v>
      </c>
      <c r="B150" s="126" t="s">
        <v>671</v>
      </c>
      <c r="C150" s="184" t="s">
        <v>51</v>
      </c>
      <c r="D150" s="184">
        <v>10.0</v>
      </c>
      <c r="E150" s="184">
        <v>1.0</v>
      </c>
      <c r="F150" s="184" t="s">
        <v>672</v>
      </c>
      <c r="G150" s="184" t="s">
        <v>60</v>
      </c>
      <c r="H150" s="184">
        <v>59.2</v>
      </c>
      <c r="I150" s="184">
        <v>53.9</v>
      </c>
      <c r="J150" s="336">
        <v>4.709501877E9</v>
      </c>
      <c r="K150" s="37"/>
    </row>
    <row r="151">
      <c r="A151" s="126">
        <v>147.0</v>
      </c>
      <c r="B151" s="126" t="s">
        <v>671</v>
      </c>
      <c r="C151" s="184" t="s">
        <v>51</v>
      </c>
      <c r="D151" s="184">
        <v>10.0</v>
      </c>
      <c r="E151" s="184">
        <v>22.0</v>
      </c>
      <c r="F151" s="184" t="s">
        <v>674</v>
      </c>
      <c r="G151" s="184" t="s">
        <v>60</v>
      </c>
      <c r="H151" s="184">
        <v>57.3</v>
      </c>
      <c r="I151" s="184">
        <v>52.1</v>
      </c>
      <c r="J151" s="336">
        <v>4.344167001E9</v>
      </c>
      <c r="K151" s="37"/>
    </row>
    <row r="152">
      <c r="A152" s="126">
        <v>148.0</v>
      </c>
      <c r="B152" s="126" t="s">
        <v>671</v>
      </c>
      <c r="C152" s="184" t="s">
        <v>51</v>
      </c>
      <c r="D152" s="184">
        <v>10.0</v>
      </c>
      <c r="E152" s="184">
        <v>27.0</v>
      </c>
      <c r="F152" s="184" t="s">
        <v>675</v>
      </c>
      <c r="G152" s="184" t="s">
        <v>60</v>
      </c>
      <c r="H152" s="184">
        <v>55.4</v>
      </c>
      <c r="I152" s="184">
        <v>50.4</v>
      </c>
      <c r="J152" s="336">
        <v>3.866742918E9</v>
      </c>
      <c r="K152" s="37"/>
    </row>
    <row r="153">
      <c r="A153" s="126">
        <v>149.0</v>
      </c>
      <c r="B153" s="126" t="s">
        <v>671</v>
      </c>
      <c r="C153" s="184" t="s">
        <v>51</v>
      </c>
      <c r="D153" s="184">
        <v>10.0</v>
      </c>
      <c r="E153" s="184">
        <v>28.0</v>
      </c>
      <c r="F153" s="184" t="s">
        <v>676</v>
      </c>
      <c r="G153" s="184" t="s">
        <v>68</v>
      </c>
      <c r="H153" s="184">
        <v>38.5</v>
      </c>
      <c r="I153" s="184">
        <v>88.7</v>
      </c>
      <c r="J153" s="336">
        <v>5.61555809E9</v>
      </c>
      <c r="K153" s="37"/>
    </row>
    <row r="154">
      <c r="A154" s="126">
        <v>150.0</v>
      </c>
      <c r="B154" s="126" t="s">
        <v>671</v>
      </c>
      <c r="C154" s="184" t="s">
        <v>51</v>
      </c>
      <c r="D154" s="184">
        <v>10.0</v>
      </c>
      <c r="E154" s="184">
        <v>30.0</v>
      </c>
      <c r="F154" s="184" t="s">
        <v>678</v>
      </c>
      <c r="G154" s="184" t="s">
        <v>68</v>
      </c>
      <c r="H154" s="184">
        <v>85.3</v>
      </c>
      <c r="I154" s="184">
        <v>76.0</v>
      </c>
      <c r="J154" s="336">
        <v>7.367546596E9</v>
      </c>
      <c r="K154" s="37"/>
    </row>
    <row r="155">
      <c r="A155" s="126">
        <v>151.0</v>
      </c>
      <c r="B155" s="126" t="s">
        <v>671</v>
      </c>
      <c r="C155" s="184" t="s">
        <v>51</v>
      </c>
      <c r="D155" s="184" t="s">
        <v>269</v>
      </c>
      <c r="E155" s="184">
        <v>28.0</v>
      </c>
      <c r="F155" s="184" t="s">
        <v>679</v>
      </c>
      <c r="G155" s="184" t="s">
        <v>68</v>
      </c>
      <c r="H155" s="184">
        <v>33.6</v>
      </c>
      <c r="I155" s="184">
        <v>80.7</v>
      </c>
      <c r="J155" s="336">
        <v>5.532232465E9</v>
      </c>
      <c r="K155" s="37"/>
    </row>
    <row r="156">
      <c r="A156" s="126">
        <v>152.0</v>
      </c>
      <c r="B156" s="126" t="s">
        <v>671</v>
      </c>
      <c r="C156" s="184" t="s">
        <v>51</v>
      </c>
      <c r="D156" s="184">
        <v>17.0</v>
      </c>
      <c r="E156" s="184">
        <v>3.0</v>
      </c>
      <c r="F156" s="184" t="s">
        <v>682</v>
      </c>
      <c r="G156" s="184" t="s">
        <v>60</v>
      </c>
      <c r="H156" s="184">
        <v>59.2</v>
      </c>
      <c r="I156" s="184">
        <v>53.9</v>
      </c>
      <c r="J156" s="336">
        <v>4.954378272E9</v>
      </c>
      <c r="K156" s="37"/>
    </row>
    <row r="157">
      <c r="A157" s="126">
        <v>153.0</v>
      </c>
      <c r="B157" s="126" t="s">
        <v>671</v>
      </c>
      <c r="C157" s="184" t="s">
        <v>33</v>
      </c>
      <c r="D157" s="184">
        <v>6.0</v>
      </c>
      <c r="E157" s="184">
        <v>2.0</v>
      </c>
      <c r="F157" s="184" t="s">
        <v>683</v>
      </c>
      <c r="G157" s="184" t="s">
        <v>60</v>
      </c>
      <c r="H157" s="184">
        <v>58.5</v>
      </c>
      <c r="I157" s="184">
        <v>52.8</v>
      </c>
      <c r="J157" s="336">
        <v>4.16413666E9</v>
      </c>
      <c r="K157" s="37"/>
    </row>
    <row r="158">
      <c r="A158" s="126">
        <v>154.0</v>
      </c>
      <c r="B158" s="126" t="s">
        <v>671</v>
      </c>
      <c r="C158" s="184" t="s">
        <v>33</v>
      </c>
      <c r="D158" s="184">
        <v>7.0</v>
      </c>
      <c r="E158" s="184">
        <v>37.0</v>
      </c>
      <c r="F158" s="184" t="s">
        <v>684</v>
      </c>
      <c r="G158" s="184" t="s">
        <v>60</v>
      </c>
      <c r="H158" s="184">
        <v>58.5</v>
      </c>
      <c r="I158" s="184">
        <v>54.1</v>
      </c>
      <c r="J158" s="336">
        <v>5.566681867E9</v>
      </c>
      <c r="K158" s="37"/>
    </row>
    <row r="159">
      <c r="A159" s="126">
        <v>155.0</v>
      </c>
      <c r="B159" s="126" t="s">
        <v>671</v>
      </c>
      <c r="C159" s="184" t="s">
        <v>33</v>
      </c>
      <c r="D159" s="184">
        <v>19.0</v>
      </c>
      <c r="E159" s="184">
        <v>5.0</v>
      </c>
      <c r="F159" s="184" t="s">
        <v>687</v>
      </c>
      <c r="G159" s="184" t="s">
        <v>60</v>
      </c>
      <c r="H159" s="184">
        <v>59.1</v>
      </c>
      <c r="I159" s="184">
        <v>54.6</v>
      </c>
      <c r="J159" s="336">
        <v>4.782089624E9</v>
      </c>
      <c r="K159" s="37"/>
    </row>
    <row r="160">
      <c r="A160" s="126">
        <v>156.0</v>
      </c>
      <c r="B160" s="126" t="s">
        <v>671</v>
      </c>
      <c r="C160" s="184" t="s">
        <v>22</v>
      </c>
      <c r="D160" s="184">
        <v>23.0</v>
      </c>
      <c r="E160" s="184">
        <v>22.0</v>
      </c>
      <c r="F160" s="184" t="s">
        <v>688</v>
      </c>
      <c r="G160" s="184" t="s">
        <v>60</v>
      </c>
      <c r="H160" s="184">
        <v>58.5</v>
      </c>
      <c r="I160" s="184">
        <v>53.9</v>
      </c>
      <c r="J160" s="336">
        <v>5.260168522E9</v>
      </c>
      <c r="K160" s="37"/>
    </row>
    <row r="161">
      <c r="A161" s="126">
        <v>157.0</v>
      </c>
      <c r="B161" s="126" t="s">
        <v>671</v>
      </c>
      <c r="C161" s="184" t="s">
        <v>22</v>
      </c>
      <c r="D161" s="184">
        <v>24.0</v>
      </c>
      <c r="E161" s="184" t="s">
        <v>35</v>
      </c>
      <c r="F161" s="184" t="s">
        <v>691</v>
      </c>
      <c r="G161" s="184" t="s">
        <v>60</v>
      </c>
      <c r="H161" s="184">
        <v>63.8</v>
      </c>
      <c r="I161" s="184">
        <v>59.5</v>
      </c>
      <c r="J161" s="336">
        <v>3.949470622E9</v>
      </c>
      <c r="K161" s="37"/>
    </row>
    <row r="162">
      <c r="A162" s="126">
        <v>158.0</v>
      </c>
      <c r="B162" s="126" t="s">
        <v>671</v>
      </c>
      <c r="C162" s="184" t="s">
        <v>151</v>
      </c>
      <c r="D162" s="184">
        <v>11.0</v>
      </c>
      <c r="E162" s="184">
        <v>2.0</v>
      </c>
      <c r="F162" s="184" t="s">
        <v>692</v>
      </c>
      <c r="G162" s="184" t="s">
        <v>60</v>
      </c>
      <c r="H162" s="184">
        <v>62.6</v>
      </c>
      <c r="I162" s="184">
        <v>58.1</v>
      </c>
      <c r="J162" s="336">
        <v>5.16509041E9</v>
      </c>
      <c r="K162" s="37"/>
    </row>
    <row r="163">
      <c r="A163" s="126">
        <v>159.0</v>
      </c>
      <c r="B163" s="126" t="s">
        <v>671</v>
      </c>
      <c r="C163" s="184" t="s">
        <v>151</v>
      </c>
      <c r="D163" s="184">
        <v>11.0</v>
      </c>
      <c r="E163" s="184">
        <v>9.0</v>
      </c>
      <c r="F163" s="184" t="s">
        <v>694</v>
      </c>
      <c r="G163" s="184" t="s">
        <v>68</v>
      </c>
      <c r="H163" s="184">
        <v>81.2</v>
      </c>
      <c r="I163" s="184">
        <v>75.3</v>
      </c>
      <c r="J163" s="336">
        <v>6.810783886E9</v>
      </c>
      <c r="K163" s="37"/>
    </row>
    <row r="164">
      <c r="A164" s="126">
        <v>160.0</v>
      </c>
      <c r="B164" s="126" t="s">
        <v>671</v>
      </c>
      <c r="C164" s="184" t="s">
        <v>151</v>
      </c>
      <c r="D164" s="184">
        <v>16.0</v>
      </c>
      <c r="E164" s="184">
        <v>30.0</v>
      </c>
      <c r="F164" s="184" t="s">
        <v>709</v>
      </c>
      <c r="G164" s="184" t="s">
        <v>60</v>
      </c>
      <c r="H164" s="184">
        <v>58.5</v>
      </c>
      <c r="I164" s="184">
        <v>54.0</v>
      </c>
      <c r="J164" s="336">
        <v>3.91312905E9</v>
      </c>
      <c r="K164" s="37"/>
    </row>
    <row r="165">
      <c r="A165" s="126">
        <v>161.0</v>
      </c>
      <c r="B165" s="126" t="s">
        <v>671</v>
      </c>
      <c r="C165" s="184" t="s">
        <v>51</v>
      </c>
      <c r="D165" s="184">
        <v>19.0</v>
      </c>
      <c r="E165" s="184">
        <v>28.0</v>
      </c>
      <c r="F165" s="184" t="s">
        <v>698</v>
      </c>
      <c r="G165" s="184" t="s">
        <v>68</v>
      </c>
      <c r="H165" s="184">
        <v>88.6</v>
      </c>
      <c r="I165" s="184">
        <v>80.7</v>
      </c>
      <c r="J165" s="336">
        <v>5.990523403E9</v>
      </c>
      <c r="K165" s="37"/>
    </row>
    <row r="166">
      <c r="A166" s="126">
        <v>162.0</v>
      </c>
      <c r="B166" s="126" t="s">
        <v>671</v>
      </c>
      <c r="C166" s="126" t="s">
        <v>151</v>
      </c>
      <c r="D166" s="126">
        <v>18.0</v>
      </c>
      <c r="E166" s="126">
        <v>5.0</v>
      </c>
      <c r="F166" s="126" t="s">
        <v>699</v>
      </c>
      <c r="G166" s="184" t="s">
        <v>60</v>
      </c>
      <c r="H166" s="184">
        <v>58.5</v>
      </c>
      <c r="I166" s="126">
        <v>54.1</v>
      </c>
      <c r="J166" s="344">
        <v>4.944389565E9</v>
      </c>
      <c r="K166" s="37"/>
    </row>
    <row r="167">
      <c r="A167" s="126">
        <v>163.0</v>
      </c>
      <c r="B167" s="126" t="s">
        <v>671</v>
      </c>
      <c r="C167" s="126" t="s">
        <v>151</v>
      </c>
      <c r="D167" s="126">
        <v>20.0</v>
      </c>
      <c r="E167" s="126">
        <v>26.0</v>
      </c>
      <c r="F167" s="58" t="s">
        <v>700</v>
      </c>
      <c r="G167" s="184" t="s">
        <v>60</v>
      </c>
      <c r="H167" s="126">
        <v>62.6</v>
      </c>
      <c r="I167" s="126">
        <v>58.2</v>
      </c>
      <c r="J167" s="344">
        <v>4.091782237E9</v>
      </c>
      <c r="K167" s="37"/>
    </row>
    <row r="168">
      <c r="A168" s="126">
        <v>164.0</v>
      </c>
      <c r="B168" s="126" t="s">
        <v>703</v>
      </c>
      <c r="C168" s="184" t="s">
        <v>51</v>
      </c>
      <c r="D168" s="184">
        <v>6.0</v>
      </c>
      <c r="E168" s="184">
        <v>1.0</v>
      </c>
      <c r="F168" s="184" t="s">
        <v>704</v>
      </c>
      <c r="G168" s="184" t="s">
        <v>53</v>
      </c>
      <c r="H168" s="184">
        <v>59.2</v>
      </c>
      <c r="I168" s="184">
        <v>53.9</v>
      </c>
      <c r="J168" s="336">
        <v>4.569572508E9</v>
      </c>
      <c r="K168" s="37"/>
    </row>
    <row r="169">
      <c r="A169" s="126">
        <v>165.0</v>
      </c>
      <c r="B169" s="126" t="s">
        <v>703</v>
      </c>
      <c r="C169" s="184" t="s">
        <v>51</v>
      </c>
      <c r="D169" s="184">
        <v>6.0</v>
      </c>
      <c r="E169" s="184">
        <v>24.0</v>
      </c>
      <c r="F169" s="184" t="s">
        <v>705</v>
      </c>
      <c r="G169" s="184" t="s">
        <v>24</v>
      </c>
      <c r="H169" s="184">
        <v>82.2</v>
      </c>
      <c r="I169" s="184">
        <v>72.7</v>
      </c>
      <c r="J169" s="336">
        <v>5.821188221E9</v>
      </c>
      <c r="K169" s="37"/>
    </row>
    <row r="170">
      <c r="A170" s="126">
        <v>166.0</v>
      </c>
      <c r="B170" s="126" t="s">
        <v>703</v>
      </c>
      <c r="C170" s="184" t="s">
        <v>51</v>
      </c>
      <c r="D170" s="184" t="s">
        <v>35</v>
      </c>
      <c r="E170" s="184" t="s">
        <v>228</v>
      </c>
      <c r="F170" s="184" t="s">
        <v>708</v>
      </c>
      <c r="G170" s="184" t="s">
        <v>24</v>
      </c>
      <c r="H170" s="184">
        <v>80.0</v>
      </c>
      <c r="I170" s="184">
        <v>72.0</v>
      </c>
      <c r="J170" s="336">
        <v>5.714485742E9</v>
      </c>
      <c r="K170" s="37"/>
    </row>
    <row r="171">
      <c r="A171" s="126">
        <v>167.0</v>
      </c>
      <c r="B171" s="126" t="s">
        <v>703</v>
      </c>
      <c r="C171" s="184" t="s">
        <v>51</v>
      </c>
      <c r="D171" s="184" t="s">
        <v>35</v>
      </c>
      <c r="E171" s="184">
        <v>25.0</v>
      </c>
      <c r="F171" s="184" t="s">
        <v>710</v>
      </c>
      <c r="G171" s="184" t="s">
        <v>89</v>
      </c>
      <c r="H171" s="184">
        <v>34.5</v>
      </c>
      <c r="I171" s="184">
        <v>30.0</v>
      </c>
      <c r="J171" s="336">
        <v>2.562797242E9</v>
      </c>
      <c r="K171" s="37"/>
    </row>
    <row r="172">
      <c r="A172" s="126">
        <v>168.0</v>
      </c>
      <c r="B172" s="126" t="s">
        <v>703</v>
      </c>
      <c r="C172" s="184" t="s">
        <v>51</v>
      </c>
      <c r="D172" s="184">
        <v>8.0</v>
      </c>
      <c r="E172" s="184">
        <v>17.0</v>
      </c>
      <c r="F172" s="184" t="s">
        <v>712</v>
      </c>
      <c r="G172" s="184" t="s">
        <v>24</v>
      </c>
      <c r="H172" s="184">
        <v>80.1</v>
      </c>
      <c r="I172" s="184">
        <v>70.5</v>
      </c>
      <c r="J172" s="336">
        <v>5.749295303E9</v>
      </c>
      <c r="K172" s="37"/>
    </row>
    <row r="173">
      <c r="A173" s="126">
        <v>169.0</v>
      </c>
      <c r="B173" s="126" t="s">
        <v>703</v>
      </c>
      <c r="C173" s="184" t="s">
        <v>51</v>
      </c>
      <c r="D173" s="184">
        <v>19.0</v>
      </c>
      <c r="E173" s="184">
        <v>3.0</v>
      </c>
      <c r="F173" s="184" t="s">
        <v>713</v>
      </c>
      <c r="G173" s="184" t="s">
        <v>53</v>
      </c>
      <c r="H173" s="184">
        <v>59.2</v>
      </c>
      <c r="I173" s="184">
        <v>53.9</v>
      </c>
      <c r="J173" s="336">
        <v>5.024342956E9</v>
      </c>
      <c r="K173" s="37"/>
    </row>
    <row r="174">
      <c r="A174" s="126">
        <v>170.0</v>
      </c>
      <c r="B174" s="126" t="s">
        <v>703</v>
      </c>
      <c r="C174" s="184" t="s">
        <v>51</v>
      </c>
      <c r="D174" s="184">
        <v>20.0</v>
      </c>
      <c r="E174" s="184">
        <v>6.0</v>
      </c>
      <c r="F174" s="184" t="s">
        <v>714</v>
      </c>
      <c r="G174" s="184" t="s">
        <v>24</v>
      </c>
      <c r="H174" s="184">
        <v>74.6</v>
      </c>
      <c r="I174" s="184">
        <v>66.7</v>
      </c>
      <c r="J174" s="336">
        <v>6.645886799E9</v>
      </c>
      <c r="K174" s="37"/>
    </row>
    <row r="175">
      <c r="A175" s="126">
        <v>171.0</v>
      </c>
      <c r="B175" s="126" t="s">
        <v>703</v>
      </c>
      <c r="C175" s="184" t="s">
        <v>51</v>
      </c>
      <c r="D175" s="184">
        <v>20.0</v>
      </c>
      <c r="E175" s="184">
        <v>22.0</v>
      </c>
      <c r="F175" s="184" t="s">
        <v>716</v>
      </c>
      <c r="G175" s="184" t="s">
        <v>53</v>
      </c>
      <c r="H175" s="184">
        <v>57.3</v>
      </c>
      <c r="I175" s="184">
        <v>52.1</v>
      </c>
      <c r="J175" s="336">
        <v>4.666781123E9</v>
      </c>
      <c r="K175" s="37"/>
    </row>
    <row r="176">
      <c r="A176" s="126">
        <v>172.0</v>
      </c>
      <c r="B176" s="126" t="s">
        <v>717</v>
      </c>
      <c r="C176" s="355" t="s">
        <v>22</v>
      </c>
      <c r="D176" s="122"/>
      <c r="E176" s="122"/>
      <c r="F176" s="355" t="s">
        <v>718</v>
      </c>
      <c r="G176" s="355" t="s">
        <v>53</v>
      </c>
      <c r="H176" s="359" t="s">
        <v>719</v>
      </c>
      <c r="I176" s="355" t="s">
        <v>720</v>
      </c>
      <c r="J176" s="359">
        <v>4.042958833E9</v>
      </c>
      <c r="K176" s="37"/>
    </row>
    <row r="177">
      <c r="A177" s="126">
        <v>173.0</v>
      </c>
      <c r="B177" s="126" t="s">
        <v>717</v>
      </c>
      <c r="C177" s="355" t="s">
        <v>33</v>
      </c>
      <c r="D177" s="122"/>
      <c r="E177" s="122"/>
      <c r="F177" s="355" t="s">
        <v>721</v>
      </c>
      <c r="G177" s="355" t="s">
        <v>53</v>
      </c>
      <c r="H177" s="359">
        <v>61.2</v>
      </c>
      <c r="I177" s="355">
        <v>56.7</v>
      </c>
      <c r="J177" s="359">
        <v>4.205556877E9</v>
      </c>
      <c r="K177" s="37"/>
    </row>
    <row r="178">
      <c r="A178" s="126">
        <v>174.0</v>
      </c>
      <c r="B178" s="126" t="s">
        <v>717</v>
      </c>
      <c r="C178" s="355" t="s">
        <v>33</v>
      </c>
      <c r="D178" s="122"/>
      <c r="E178" s="122"/>
      <c r="F178" s="355" t="s">
        <v>724</v>
      </c>
      <c r="G178" s="355" t="s">
        <v>53</v>
      </c>
      <c r="H178" s="359">
        <v>59.08</v>
      </c>
      <c r="I178" s="355">
        <v>53.85</v>
      </c>
      <c r="J178" s="359">
        <v>3.900235866E9</v>
      </c>
      <c r="K178" s="37"/>
    </row>
    <row r="179">
      <c r="A179" s="126">
        <v>175.0</v>
      </c>
      <c r="B179" s="126" t="s">
        <v>717</v>
      </c>
      <c r="C179" s="355" t="s">
        <v>33</v>
      </c>
      <c r="D179" s="122"/>
      <c r="E179" s="122"/>
      <c r="F179" s="355" t="s">
        <v>429</v>
      </c>
      <c r="G179" s="355" t="s">
        <v>53</v>
      </c>
      <c r="H179" s="359">
        <v>59.1</v>
      </c>
      <c r="I179" s="355">
        <v>53.7</v>
      </c>
      <c r="J179" s="359">
        <v>5.011001341E9</v>
      </c>
      <c r="K179" s="37"/>
    </row>
    <row r="180">
      <c r="A180" s="126">
        <v>176.0</v>
      </c>
      <c r="B180" s="126" t="s">
        <v>717</v>
      </c>
      <c r="C180" s="355" t="s">
        <v>33</v>
      </c>
      <c r="D180" s="122"/>
      <c r="E180" s="122"/>
      <c r="F180" s="355" t="s">
        <v>725</v>
      </c>
      <c r="G180" s="355" t="s">
        <v>53</v>
      </c>
      <c r="H180" s="359" t="s">
        <v>161</v>
      </c>
      <c r="I180" s="355" t="s">
        <v>222</v>
      </c>
      <c r="J180" s="359">
        <v>5.566681867E9</v>
      </c>
      <c r="K180" s="37"/>
    </row>
    <row r="181">
      <c r="A181" s="126">
        <v>177.0</v>
      </c>
      <c r="B181" s="126" t="s">
        <v>717</v>
      </c>
      <c r="C181" s="355" t="s">
        <v>33</v>
      </c>
      <c r="D181" s="122"/>
      <c r="E181" s="122"/>
      <c r="F181" s="355" t="s">
        <v>728</v>
      </c>
      <c r="G181" s="355" t="s">
        <v>89</v>
      </c>
      <c r="H181" s="359" t="s">
        <v>362</v>
      </c>
      <c r="I181" s="355" t="s">
        <v>363</v>
      </c>
      <c r="J181" s="359">
        <v>3.629913945E9</v>
      </c>
      <c r="K181" s="37"/>
    </row>
    <row r="182">
      <c r="A182" s="126">
        <v>178.0</v>
      </c>
      <c r="B182" s="126" t="s">
        <v>717</v>
      </c>
      <c r="C182" s="355" t="s">
        <v>151</v>
      </c>
      <c r="D182" s="122"/>
      <c r="E182" s="122"/>
      <c r="F182" s="355" t="s">
        <v>729</v>
      </c>
      <c r="G182" s="355" t="s">
        <v>53</v>
      </c>
      <c r="H182" s="359" t="s">
        <v>161</v>
      </c>
      <c r="I182" s="355" t="s">
        <v>181</v>
      </c>
      <c r="J182" s="359">
        <v>4.818380382E9</v>
      </c>
      <c r="K182" s="37"/>
    </row>
    <row r="183">
      <c r="A183" s="126">
        <v>179.0</v>
      </c>
      <c r="B183" s="126" t="s">
        <v>717</v>
      </c>
      <c r="C183" s="355" t="s">
        <v>151</v>
      </c>
      <c r="D183" s="122"/>
      <c r="E183" s="122"/>
      <c r="F183" s="355" t="s">
        <v>730</v>
      </c>
      <c r="G183" s="355" t="s">
        <v>53</v>
      </c>
      <c r="H183" s="359" t="s">
        <v>164</v>
      </c>
      <c r="I183" s="355" t="s">
        <v>288</v>
      </c>
      <c r="J183" s="359">
        <v>3.610453712E9</v>
      </c>
      <c r="K183" s="37"/>
    </row>
    <row r="184">
      <c r="A184" s="126">
        <v>180.0</v>
      </c>
      <c r="B184" s="126" t="s">
        <v>717</v>
      </c>
      <c r="C184" s="355" t="s">
        <v>151</v>
      </c>
      <c r="D184" s="122"/>
      <c r="E184" s="122"/>
      <c r="F184" s="355" t="s">
        <v>732</v>
      </c>
      <c r="G184" s="355" t="s">
        <v>53</v>
      </c>
      <c r="H184" s="359" t="s">
        <v>191</v>
      </c>
      <c r="I184" s="355" t="s">
        <v>190</v>
      </c>
      <c r="J184" s="359">
        <v>5.612437648E9</v>
      </c>
      <c r="K184" s="37"/>
    </row>
    <row r="185">
      <c r="A185" s="126">
        <v>181.0</v>
      </c>
      <c r="B185" s="126" t="s">
        <v>717</v>
      </c>
      <c r="C185" s="355" t="s">
        <v>51</v>
      </c>
      <c r="D185" s="122"/>
      <c r="E185" s="122"/>
      <c r="F185" s="355" t="s">
        <v>733</v>
      </c>
      <c r="G185" s="355" t="s">
        <v>53</v>
      </c>
      <c r="H185" s="359">
        <v>59.2</v>
      </c>
      <c r="I185" s="355" t="s">
        <v>734</v>
      </c>
      <c r="J185" s="359">
        <v>5.094307639E9</v>
      </c>
      <c r="K185" s="37"/>
    </row>
    <row r="186">
      <c r="A186" s="126">
        <v>182.0</v>
      </c>
      <c r="B186" s="126" t="s">
        <v>717</v>
      </c>
      <c r="C186" s="355" t="s">
        <v>51</v>
      </c>
      <c r="D186" s="122"/>
      <c r="E186" s="122"/>
      <c r="F186" s="355" t="s">
        <v>736</v>
      </c>
      <c r="G186" s="355" t="s">
        <v>53</v>
      </c>
      <c r="H186" s="359">
        <v>60.8</v>
      </c>
      <c r="I186" s="355">
        <v>54.4</v>
      </c>
      <c r="J186" s="359">
        <v>4.704372149E9</v>
      </c>
      <c r="K186" s="37"/>
    </row>
    <row r="187">
      <c r="A187" s="126">
        <v>183.0</v>
      </c>
      <c r="B187" s="126" t="s">
        <v>717</v>
      </c>
      <c r="C187" s="355" t="s">
        <v>51</v>
      </c>
      <c r="D187" s="122"/>
      <c r="E187" s="122"/>
      <c r="F187" s="355" t="s">
        <v>737</v>
      </c>
      <c r="G187" s="355" t="s">
        <v>53</v>
      </c>
      <c r="H187" s="359" t="s">
        <v>723</v>
      </c>
      <c r="I187" s="355" t="s">
        <v>79</v>
      </c>
      <c r="J187" s="359">
        <v>4.367515943E9</v>
      </c>
      <c r="K187" s="37"/>
    </row>
    <row r="188">
      <c r="A188" s="126">
        <v>184.0</v>
      </c>
      <c r="B188" s="126" t="s">
        <v>717</v>
      </c>
      <c r="C188" s="355" t="s">
        <v>51</v>
      </c>
      <c r="D188" s="122"/>
      <c r="E188" s="122"/>
      <c r="F188" s="355" t="s">
        <v>738</v>
      </c>
      <c r="G188" s="355" t="s">
        <v>24</v>
      </c>
      <c r="H188" s="359" t="s">
        <v>318</v>
      </c>
      <c r="I188" s="355" t="s">
        <v>69</v>
      </c>
      <c r="J188" s="359">
        <v>7.312795012E9</v>
      </c>
      <c r="K188" s="37"/>
    </row>
    <row r="189">
      <c r="A189" s="126">
        <v>185.0</v>
      </c>
      <c r="B189" s="126" t="s">
        <v>717</v>
      </c>
      <c r="C189" s="355" t="s">
        <v>51</v>
      </c>
      <c r="D189" s="122"/>
      <c r="E189" s="122"/>
      <c r="F189" s="355" t="s">
        <v>740</v>
      </c>
      <c r="G189" s="355" t="s">
        <v>53</v>
      </c>
      <c r="H189" s="359" t="s">
        <v>723</v>
      </c>
      <c r="I189" s="355" t="s">
        <v>79</v>
      </c>
      <c r="J189" s="359">
        <v>4.805429011E9</v>
      </c>
      <c r="K189" s="37"/>
    </row>
    <row r="190">
      <c r="A190" s="126">
        <v>186.0</v>
      </c>
      <c r="B190" s="126" t="s">
        <v>717</v>
      </c>
      <c r="C190" s="355" t="s">
        <v>51</v>
      </c>
      <c r="D190" s="122"/>
      <c r="E190" s="122"/>
      <c r="F190" s="355" t="s">
        <v>741</v>
      </c>
      <c r="G190" s="355" t="s">
        <v>24</v>
      </c>
      <c r="H190" s="359" t="s">
        <v>342</v>
      </c>
      <c r="I190" s="355" t="s">
        <v>86</v>
      </c>
      <c r="J190" s="359">
        <v>5.165598304E9</v>
      </c>
      <c r="K190" s="37"/>
    </row>
    <row r="191">
      <c r="A191" s="126">
        <v>187.0</v>
      </c>
      <c r="B191" s="126" t="s">
        <v>742</v>
      </c>
      <c r="C191" s="376" t="s">
        <v>33</v>
      </c>
      <c r="D191" s="376">
        <v>8.0</v>
      </c>
      <c r="E191" s="376">
        <v>31.0</v>
      </c>
      <c r="F191" s="376" t="s">
        <v>744</v>
      </c>
      <c r="G191" s="376" t="s">
        <v>53</v>
      </c>
      <c r="H191" s="122"/>
      <c r="I191" s="376">
        <v>54.0</v>
      </c>
      <c r="J191" s="377">
        <v>5.52821707E9</v>
      </c>
      <c r="K191" s="37"/>
    </row>
    <row r="192">
      <c r="A192" s="126">
        <v>188.0</v>
      </c>
      <c r="B192" s="126" t="s">
        <v>742</v>
      </c>
      <c r="C192" s="376" t="s">
        <v>33</v>
      </c>
      <c r="D192" s="376" t="s">
        <v>35</v>
      </c>
      <c r="E192" s="376">
        <v>31.0</v>
      </c>
      <c r="F192" s="376" t="s">
        <v>745</v>
      </c>
      <c r="G192" s="376" t="s">
        <v>53</v>
      </c>
      <c r="H192" s="122"/>
      <c r="I192" s="376">
        <v>54.0</v>
      </c>
      <c r="J192" s="377">
        <v>5.52821707E9</v>
      </c>
      <c r="K192" s="37"/>
    </row>
    <row r="193">
      <c r="A193" s="126">
        <v>189.0</v>
      </c>
      <c r="B193" s="126" t="s">
        <v>742</v>
      </c>
      <c r="C193" s="376" t="s">
        <v>33</v>
      </c>
      <c r="D193" s="376">
        <v>8.0</v>
      </c>
      <c r="E193" s="376">
        <v>39.0</v>
      </c>
      <c r="F193" s="376" t="s">
        <v>354</v>
      </c>
      <c r="G193" s="376" t="s">
        <v>24</v>
      </c>
      <c r="H193" s="122"/>
      <c r="I193" s="376">
        <v>66.0</v>
      </c>
      <c r="J193" s="377">
        <v>7.54125813E9</v>
      </c>
      <c r="K193" s="37"/>
    </row>
    <row r="194">
      <c r="A194" s="126">
        <v>190.0</v>
      </c>
      <c r="B194" s="126" t="s">
        <v>742</v>
      </c>
      <c r="C194" s="376" t="s">
        <v>22</v>
      </c>
      <c r="D194" s="376">
        <v>9.0</v>
      </c>
      <c r="E194" s="376">
        <v>25.0</v>
      </c>
      <c r="F194" s="376" t="s">
        <v>747</v>
      </c>
      <c r="G194" s="376" t="s">
        <v>53</v>
      </c>
      <c r="H194" s="122"/>
      <c r="I194" s="376">
        <v>58.0</v>
      </c>
      <c r="J194" s="377">
        <v>5.21368772E9</v>
      </c>
      <c r="K194" s="37"/>
    </row>
    <row r="195">
      <c r="A195" s="126">
        <v>191.0</v>
      </c>
      <c r="B195" s="126" t="s">
        <v>742</v>
      </c>
      <c r="C195" s="376" t="s">
        <v>22</v>
      </c>
      <c r="D195" s="376">
        <v>7.0</v>
      </c>
      <c r="E195" s="376" t="s">
        <v>228</v>
      </c>
      <c r="F195" s="376" t="s">
        <v>749</v>
      </c>
      <c r="G195" s="376" t="s">
        <v>53</v>
      </c>
      <c r="H195" s="122"/>
      <c r="I195" s="376">
        <v>52.5</v>
      </c>
      <c r="J195" s="377">
        <v>4.25665227E9</v>
      </c>
      <c r="K195" s="37"/>
    </row>
    <row r="196">
      <c r="A196" s="126">
        <v>192.0</v>
      </c>
      <c r="B196" s="126" t="s">
        <v>742</v>
      </c>
      <c r="C196" s="376" t="s">
        <v>151</v>
      </c>
      <c r="D196" s="376">
        <v>12.0</v>
      </c>
      <c r="E196" s="376">
        <v>30.0</v>
      </c>
      <c r="F196" s="376" t="s">
        <v>751</v>
      </c>
      <c r="G196" s="376" t="s">
        <v>53</v>
      </c>
      <c r="H196" s="122"/>
      <c r="I196" s="376">
        <v>54.0</v>
      </c>
      <c r="J196" s="377">
        <v>3.754128038E9</v>
      </c>
      <c r="K196" s="37"/>
    </row>
    <row r="197">
      <c r="A197" s="126">
        <v>193.0</v>
      </c>
      <c r="B197" s="126" t="s">
        <v>742</v>
      </c>
      <c r="C197" s="376" t="s">
        <v>151</v>
      </c>
      <c r="D197" s="376">
        <v>6.0</v>
      </c>
      <c r="E197" s="376">
        <v>26.0</v>
      </c>
      <c r="F197" s="376" t="s">
        <v>752</v>
      </c>
      <c r="G197" s="376" t="s">
        <v>53</v>
      </c>
      <c r="H197" s="122"/>
      <c r="I197" s="376">
        <v>58.2</v>
      </c>
      <c r="J197" s="377">
        <v>3.69623687E9</v>
      </c>
      <c r="K197" s="37"/>
    </row>
    <row r="198">
      <c r="A198" s="126">
        <v>194.0</v>
      </c>
      <c r="B198" s="126" t="s">
        <v>742</v>
      </c>
      <c r="C198" s="376" t="s">
        <v>151</v>
      </c>
      <c r="D198" s="376">
        <v>6.0</v>
      </c>
      <c r="E198" s="376">
        <v>33.0</v>
      </c>
      <c r="F198" s="376" t="s">
        <v>755</v>
      </c>
      <c r="G198" s="376" t="s">
        <v>53</v>
      </c>
      <c r="H198" s="122"/>
      <c r="I198" s="376">
        <v>54.5</v>
      </c>
      <c r="J198" s="377">
        <v>3.52793536E9</v>
      </c>
      <c r="K198" s="37"/>
    </row>
    <row r="199">
      <c r="A199" s="126">
        <v>195.0</v>
      </c>
      <c r="B199" s="126" t="s">
        <v>756</v>
      </c>
      <c r="C199" s="376" t="s">
        <v>33</v>
      </c>
      <c r="D199" s="376">
        <v>5.0</v>
      </c>
      <c r="E199" s="376">
        <v>30.0</v>
      </c>
      <c r="F199" s="376" t="s">
        <v>757</v>
      </c>
      <c r="G199" s="376" t="s">
        <v>422</v>
      </c>
      <c r="H199" s="122"/>
      <c r="I199" s="376">
        <v>106.89</v>
      </c>
      <c r="J199" s="376" t="s">
        <v>758</v>
      </c>
      <c r="K199" s="37"/>
    </row>
    <row r="200">
      <c r="A200" s="126">
        <v>196.0</v>
      </c>
      <c r="B200" s="126" t="s">
        <v>756</v>
      </c>
      <c r="C200" s="376" t="s">
        <v>151</v>
      </c>
      <c r="D200" s="376">
        <v>17.0</v>
      </c>
      <c r="E200" s="376">
        <v>3.0</v>
      </c>
      <c r="F200" s="376" t="s">
        <v>759</v>
      </c>
      <c r="G200" s="376" t="s">
        <v>53</v>
      </c>
      <c r="H200" s="122"/>
      <c r="I200" s="376">
        <v>54.2</v>
      </c>
      <c r="J200" s="377">
        <v>4.968263321E9</v>
      </c>
      <c r="K200" s="37"/>
    </row>
    <row r="201">
      <c r="A201" s="126">
        <v>197.0</v>
      </c>
      <c r="B201" s="126" t="s">
        <v>756</v>
      </c>
      <c r="C201" s="376" t="s">
        <v>151</v>
      </c>
      <c r="D201" s="376">
        <v>21.0</v>
      </c>
      <c r="E201" s="376">
        <v>11.0</v>
      </c>
      <c r="F201" s="376" t="s">
        <v>761</v>
      </c>
      <c r="G201" s="376" t="s">
        <v>53</v>
      </c>
      <c r="H201" s="122"/>
      <c r="I201" s="376">
        <v>50.9</v>
      </c>
      <c r="J201" s="377">
        <v>3.500253751E9</v>
      </c>
      <c r="K201" s="37"/>
    </row>
    <row r="202">
      <c r="A202" s="126">
        <v>198.0</v>
      </c>
      <c r="B202" s="126" t="s">
        <v>756</v>
      </c>
      <c r="C202" s="376" t="s">
        <v>151</v>
      </c>
      <c r="D202" s="376">
        <v>19.0</v>
      </c>
      <c r="E202" s="376" t="s">
        <v>228</v>
      </c>
      <c r="F202" s="376" t="s">
        <v>764</v>
      </c>
      <c r="G202" s="376" t="s">
        <v>53</v>
      </c>
      <c r="H202" s="122"/>
      <c r="I202" s="376">
        <v>54.3</v>
      </c>
      <c r="J202" s="376" t="s">
        <v>766</v>
      </c>
      <c r="K202" s="37"/>
    </row>
    <row r="203">
      <c r="A203" s="126">
        <v>199.0</v>
      </c>
      <c r="B203" s="126" t="s">
        <v>756</v>
      </c>
      <c r="C203" s="376" t="s">
        <v>151</v>
      </c>
      <c r="D203" s="376">
        <v>18.0</v>
      </c>
      <c r="E203" s="376">
        <v>8.0</v>
      </c>
      <c r="F203" s="376" t="s">
        <v>767</v>
      </c>
      <c r="G203" s="376" t="s">
        <v>89</v>
      </c>
      <c r="H203" s="122"/>
      <c r="I203" s="376">
        <v>31.1</v>
      </c>
      <c r="J203" s="376" t="s">
        <v>768</v>
      </c>
      <c r="K203" s="37"/>
    </row>
    <row r="204">
      <c r="A204" s="126">
        <v>200.0</v>
      </c>
      <c r="B204" s="126" t="s">
        <v>756</v>
      </c>
      <c r="C204" s="376" t="s">
        <v>151</v>
      </c>
      <c r="D204" s="376">
        <v>22.0</v>
      </c>
      <c r="E204" s="376">
        <v>22.0</v>
      </c>
      <c r="F204" s="376" t="s">
        <v>770</v>
      </c>
      <c r="G204" s="376" t="s">
        <v>53</v>
      </c>
      <c r="H204" s="122"/>
      <c r="I204" s="376">
        <v>53.9</v>
      </c>
      <c r="J204" s="377">
        <v>4.238114032E9</v>
      </c>
      <c r="K204" s="37"/>
    </row>
    <row r="205">
      <c r="A205" s="126">
        <v>201.0</v>
      </c>
      <c r="B205" s="126" t="s">
        <v>756</v>
      </c>
      <c r="C205" s="376" t="s">
        <v>51</v>
      </c>
      <c r="D205" s="376">
        <v>21.0</v>
      </c>
      <c r="E205" s="376">
        <v>6.0</v>
      </c>
      <c r="F205" s="376" t="s">
        <v>772</v>
      </c>
      <c r="G205" s="376" t="s">
        <v>24</v>
      </c>
      <c r="H205" s="122"/>
      <c r="I205" s="376" t="s">
        <v>343</v>
      </c>
      <c r="J205" s="376" t="s">
        <v>773</v>
      </c>
      <c r="K205" s="37"/>
    </row>
    <row r="206">
      <c r="A206" s="126">
        <v>202.0</v>
      </c>
      <c r="B206" s="126" t="s">
        <v>756</v>
      </c>
      <c r="C206" s="376" t="s">
        <v>51</v>
      </c>
      <c r="D206" s="376">
        <v>21.0</v>
      </c>
      <c r="E206" s="376">
        <v>12.0</v>
      </c>
      <c r="F206" s="376" t="s">
        <v>776</v>
      </c>
      <c r="G206" s="376" t="s">
        <v>53</v>
      </c>
      <c r="H206" s="122"/>
      <c r="I206" s="376" t="s">
        <v>76</v>
      </c>
      <c r="J206" s="376" t="s">
        <v>777</v>
      </c>
      <c r="K206" s="37"/>
    </row>
    <row r="207">
      <c r="A207" s="126">
        <v>203.0</v>
      </c>
      <c r="B207" s="126" t="s">
        <v>756</v>
      </c>
      <c r="C207" s="376" t="s">
        <v>51</v>
      </c>
      <c r="D207" s="376">
        <v>21.0</v>
      </c>
      <c r="E207" s="376">
        <v>22.0</v>
      </c>
      <c r="F207" s="376" t="s">
        <v>778</v>
      </c>
      <c r="G207" s="376" t="s">
        <v>53</v>
      </c>
      <c r="H207" s="122"/>
      <c r="I207" s="376" t="s">
        <v>681</v>
      </c>
      <c r="J207" s="376" t="s">
        <v>779</v>
      </c>
      <c r="K207" s="37"/>
    </row>
    <row r="208">
      <c r="A208" s="126">
        <v>204.0</v>
      </c>
      <c r="B208" s="126" t="s">
        <v>756</v>
      </c>
      <c r="C208" s="376" t="s">
        <v>51</v>
      </c>
      <c r="D208" s="376">
        <v>16.0</v>
      </c>
      <c r="E208" s="376">
        <v>1.0</v>
      </c>
      <c r="F208" s="376" t="s">
        <v>780</v>
      </c>
      <c r="G208" s="376" t="s">
        <v>53</v>
      </c>
      <c r="H208" s="122"/>
      <c r="I208" s="376" t="s">
        <v>76</v>
      </c>
      <c r="J208" s="377">
        <v>4.919395929E9</v>
      </c>
      <c r="K208" s="37"/>
    </row>
    <row r="209">
      <c r="A209" s="126">
        <v>205.0</v>
      </c>
      <c r="B209" s="126" t="s">
        <v>756</v>
      </c>
      <c r="C209" s="376" t="s">
        <v>51</v>
      </c>
      <c r="D209" s="376">
        <v>8.0</v>
      </c>
      <c r="E209" s="376">
        <v>29.0</v>
      </c>
      <c r="F209" s="376" t="s">
        <v>781</v>
      </c>
      <c r="G209" s="376" t="s">
        <v>53</v>
      </c>
      <c r="H209" s="122"/>
      <c r="I209" s="376">
        <v>55.0</v>
      </c>
      <c r="J209" s="376" t="s">
        <v>659</v>
      </c>
      <c r="K209" s="37"/>
    </row>
    <row r="210">
      <c r="A210" s="126">
        <v>206.0</v>
      </c>
      <c r="B210" s="126" t="s">
        <v>756</v>
      </c>
      <c r="C210" s="376" t="s">
        <v>51</v>
      </c>
      <c r="D210" s="376">
        <v>16.0</v>
      </c>
      <c r="E210" s="376">
        <v>24.0</v>
      </c>
      <c r="F210" s="376" t="s">
        <v>784</v>
      </c>
      <c r="G210" s="376" t="s">
        <v>24</v>
      </c>
      <c r="H210" s="122"/>
      <c r="I210" s="376" t="s">
        <v>133</v>
      </c>
      <c r="J210" s="377">
        <v>6.266703048E9</v>
      </c>
      <c r="K210" s="37"/>
    </row>
    <row r="211">
      <c r="A211" s="126">
        <v>207.0</v>
      </c>
      <c r="B211" s="126" t="s">
        <v>785</v>
      </c>
      <c r="C211" s="376" t="s">
        <v>51</v>
      </c>
      <c r="D211" s="385">
        <v>12.0</v>
      </c>
      <c r="E211" s="385">
        <v>29.0</v>
      </c>
      <c r="F211" s="385" t="s">
        <v>787</v>
      </c>
      <c r="G211" s="385" t="s">
        <v>53</v>
      </c>
      <c r="H211" s="385">
        <v>61.0</v>
      </c>
      <c r="I211" s="385">
        <v>55.0</v>
      </c>
      <c r="J211" s="386">
        <v>4.369245503E9</v>
      </c>
      <c r="K211" s="37"/>
    </row>
    <row r="212">
      <c r="A212" s="126">
        <v>208.0</v>
      </c>
      <c r="B212" s="126" t="s">
        <v>785</v>
      </c>
      <c r="C212" s="376" t="s">
        <v>51</v>
      </c>
      <c r="D212" s="385">
        <v>6.0</v>
      </c>
      <c r="E212" s="385">
        <v>21.0</v>
      </c>
      <c r="F212" s="385" t="s">
        <v>789</v>
      </c>
      <c r="G212" s="385" t="s">
        <v>53</v>
      </c>
      <c r="H212" s="385">
        <v>59.1</v>
      </c>
      <c r="I212" s="385">
        <v>53.7</v>
      </c>
      <c r="J212" s="386">
        <v>4.344568457E9</v>
      </c>
      <c r="K212" s="37"/>
    </row>
    <row r="213">
      <c r="A213" s="126">
        <v>209.0</v>
      </c>
      <c r="B213" s="126" t="s">
        <v>785</v>
      </c>
      <c r="C213" s="376" t="s">
        <v>51</v>
      </c>
      <c r="D213" s="385">
        <v>6.0</v>
      </c>
      <c r="E213" s="385">
        <v>28.0</v>
      </c>
      <c r="F213" s="385" t="s">
        <v>791</v>
      </c>
      <c r="G213" s="385" t="s">
        <v>24</v>
      </c>
      <c r="H213" s="385">
        <v>88.6</v>
      </c>
      <c r="I213" s="385">
        <v>80.7</v>
      </c>
      <c r="J213" s="386">
        <v>5.448906839E9</v>
      </c>
      <c r="K213" s="37"/>
    </row>
    <row r="214">
      <c r="A214" s="126">
        <v>210.0</v>
      </c>
      <c r="B214" s="126" t="s">
        <v>785</v>
      </c>
      <c r="C214" s="376" t="s">
        <v>51</v>
      </c>
      <c r="D214" s="385">
        <v>21.0</v>
      </c>
      <c r="E214" s="385">
        <v>30.0</v>
      </c>
      <c r="F214" s="385" t="s">
        <v>793</v>
      </c>
      <c r="G214" s="385" t="s">
        <v>24</v>
      </c>
      <c r="H214" s="385">
        <v>85.3</v>
      </c>
      <c r="I214" s="385">
        <v>76.0</v>
      </c>
      <c r="J214" s="386">
        <v>7.969814022E9</v>
      </c>
      <c r="K214" s="37"/>
    </row>
    <row r="215">
      <c r="A215" s="126">
        <v>211.0</v>
      </c>
      <c r="B215" s="126" t="s">
        <v>785</v>
      </c>
      <c r="C215" s="376" t="s">
        <v>51</v>
      </c>
      <c r="D215" s="385">
        <v>11.0</v>
      </c>
      <c r="E215" s="385">
        <v>25.0</v>
      </c>
      <c r="F215" s="385" t="s">
        <v>796</v>
      </c>
      <c r="G215" s="385" t="s">
        <v>89</v>
      </c>
      <c r="H215" s="385" t="s">
        <v>426</v>
      </c>
      <c r="I215" s="385" t="s">
        <v>727</v>
      </c>
      <c r="J215" s="386">
        <v>2.620766012E9</v>
      </c>
      <c r="K215" s="37"/>
    </row>
    <row r="216">
      <c r="A216" s="126">
        <v>212.0</v>
      </c>
      <c r="B216" s="126" t="s">
        <v>785</v>
      </c>
      <c r="C216" s="376" t="s">
        <v>51</v>
      </c>
      <c r="D216" s="385">
        <v>23.0</v>
      </c>
      <c r="E216" s="385">
        <v>3.0</v>
      </c>
      <c r="F216" s="385" t="s">
        <v>799</v>
      </c>
      <c r="G216" s="385" t="s">
        <v>53</v>
      </c>
      <c r="H216" s="385" t="s">
        <v>339</v>
      </c>
      <c r="I216" s="385" t="s">
        <v>76</v>
      </c>
      <c r="J216" s="385" t="s">
        <v>800</v>
      </c>
      <c r="K216" s="37"/>
    </row>
    <row r="217">
      <c r="A217" s="126">
        <v>213.0</v>
      </c>
      <c r="B217" s="126" t="s">
        <v>785</v>
      </c>
      <c r="C217" s="376" t="s">
        <v>51</v>
      </c>
      <c r="D217" s="385">
        <v>23.0</v>
      </c>
      <c r="E217" s="385">
        <v>9.0</v>
      </c>
      <c r="F217" s="385" t="s">
        <v>801</v>
      </c>
      <c r="G217" s="385" t="s">
        <v>89</v>
      </c>
      <c r="H217" s="385">
        <v>35.0</v>
      </c>
      <c r="I217" s="389">
        <v>46233.0</v>
      </c>
      <c r="J217" s="385" t="s">
        <v>803</v>
      </c>
      <c r="K217" s="37"/>
    </row>
    <row r="218">
      <c r="A218" s="126">
        <v>214.0</v>
      </c>
      <c r="B218" s="126" t="s">
        <v>785</v>
      </c>
      <c r="C218" s="376" t="s">
        <v>51</v>
      </c>
      <c r="D218" s="385">
        <v>23.0</v>
      </c>
      <c r="E218" s="385">
        <v>17.0</v>
      </c>
      <c r="F218" s="385" t="s">
        <v>805</v>
      </c>
      <c r="G218" s="385" t="s">
        <v>24</v>
      </c>
      <c r="H218" s="385" t="s">
        <v>327</v>
      </c>
      <c r="I218" s="385" t="s">
        <v>328</v>
      </c>
      <c r="J218" s="385" t="s">
        <v>806</v>
      </c>
      <c r="K218" s="37"/>
    </row>
    <row r="219">
      <c r="A219" s="126">
        <v>215.0</v>
      </c>
      <c r="B219" s="126" t="s">
        <v>785</v>
      </c>
      <c r="C219" s="376" t="s">
        <v>151</v>
      </c>
      <c r="D219" s="376">
        <v>5.0</v>
      </c>
      <c r="E219" s="376" t="s">
        <v>228</v>
      </c>
      <c r="F219" s="376" t="s">
        <v>807</v>
      </c>
      <c r="G219" s="376" t="s">
        <v>53</v>
      </c>
      <c r="H219" s="376" t="s">
        <v>161</v>
      </c>
      <c r="I219" s="376" t="s">
        <v>197</v>
      </c>
      <c r="J219" s="377">
        <v>4.510330976E9</v>
      </c>
      <c r="K219" s="37"/>
    </row>
    <row r="220">
      <c r="A220" s="126">
        <v>216.0</v>
      </c>
      <c r="B220" s="126" t="s">
        <v>785</v>
      </c>
      <c r="C220" s="376" t="s">
        <v>151</v>
      </c>
      <c r="D220" s="376">
        <v>5.0</v>
      </c>
      <c r="E220" s="376">
        <v>33.0</v>
      </c>
      <c r="F220" s="376" t="s">
        <v>808</v>
      </c>
      <c r="G220" s="376" t="s">
        <v>53</v>
      </c>
      <c r="H220" s="376" t="s">
        <v>360</v>
      </c>
      <c r="I220" s="376" t="s">
        <v>145</v>
      </c>
      <c r="J220" s="377">
        <v>3.500965343E9</v>
      </c>
      <c r="K220" s="37"/>
    </row>
    <row r="221">
      <c r="A221" s="126">
        <v>217.0</v>
      </c>
      <c r="B221" s="126" t="s">
        <v>785</v>
      </c>
      <c r="C221" s="376" t="s">
        <v>151</v>
      </c>
      <c r="D221" s="376">
        <v>7.0</v>
      </c>
      <c r="E221" s="376">
        <v>2.0</v>
      </c>
      <c r="F221" s="376" t="s">
        <v>811</v>
      </c>
      <c r="G221" s="376" t="s">
        <v>53</v>
      </c>
      <c r="H221" s="376" t="s">
        <v>191</v>
      </c>
      <c r="I221" s="376" t="s">
        <v>209</v>
      </c>
      <c r="J221" s="377">
        <v>4.949695677E9</v>
      </c>
      <c r="K221" s="37"/>
    </row>
    <row r="222">
      <c r="A222" s="126">
        <v>218.0</v>
      </c>
      <c r="B222" s="126" t="s">
        <v>785</v>
      </c>
      <c r="C222" s="376" t="s">
        <v>151</v>
      </c>
      <c r="D222" s="376">
        <v>7.0</v>
      </c>
      <c r="E222" s="376">
        <v>9.0</v>
      </c>
      <c r="F222" s="376" t="s">
        <v>812</v>
      </c>
      <c r="G222" s="376" t="s">
        <v>24</v>
      </c>
      <c r="H222" s="376" t="s">
        <v>316</v>
      </c>
      <c r="I222" s="376" t="s">
        <v>202</v>
      </c>
      <c r="J222" s="377">
        <v>6.52674483E9</v>
      </c>
      <c r="K222" s="37"/>
    </row>
    <row r="223">
      <c r="A223" s="126">
        <v>219.0</v>
      </c>
      <c r="B223" s="126" t="s">
        <v>785</v>
      </c>
      <c r="C223" s="376" t="s">
        <v>151</v>
      </c>
      <c r="D223" s="376">
        <v>7.0</v>
      </c>
      <c r="E223" s="376">
        <v>3.0</v>
      </c>
      <c r="F223" s="376" t="s">
        <v>814</v>
      </c>
      <c r="G223" s="376" t="s">
        <v>53</v>
      </c>
      <c r="H223" s="376" t="s">
        <v>161</v>
      </c>
      <c r="I223" s="376" t="s">
        <v>181</v>
      </c>
      <c r="J223" s="377">
        <v>4.61744416E9</v>
      </c>
      <c r="K223" s="37"/>
    </row>
    <row r="224">
      <c r="A224" s="126">
        <v>220.0</v>
      </c>
      <c r="B224" s="126" t="s">
        <v>785</v>
      </c>
      <c r="C224" s="376" t="s">
        <v>151</v>
      </c>
      <c r="D224" s="376">
        <v>7.0</v>
      </c>
      <c r="E224" s="376">
        <v>34.0</v>
      </c>
      <c r="F224" s="376" t="s">
        <v>815</v>
      </c>
      <c r="G224" s="376" t="s">
        <v>24</v>
      </c>
      <c r="H224" s="376" t="s">
        <v>316</v>
      </c>
      <c r="I224" s="376" t="s">
        <v>202</v>
      </c>
      <c r="J224" s="377">
        <v>6.52674483E9</v>
      </c>
      <c r="K224" s="37"/>
    </row>
    <row r="225">
      <c r="A225" s="126">
        <v>221.0</v>
      </c>
      <c r="B225" s="126" t="s">
        <v>785</v>
      </c>
      <c r="C225" s="376" t="s">
        <v>151</v>
      </c>
      <c r="D225" s="376">
        <v>10.0</v>
      </c>
      <c r="E225" s="376">
        <v>6.0</v>
      </c>
      <c r="F225" s="376" t="s">
        <v>817</v>
      </c>
      <c r="G225" s="376" t="s">
        <v>53</v>
      </c>
      <c r="H225" s="376" t="s">
        <v>161</v>
      </c>
      <c r="I225" s="376" t="s">
        <v>157</v>
      </c>
      <c r="J225" s="377">
        <v>4.705263009E9</v>
      </c>
      <c r="K225" s="37"/>
    </row>
    <row r="226">
      <c r="A226" s="126">
        <v>222.0</v>
      </c>
      <c r="B226" s="126" t="s">
        <v>785</v>
      </c>
      <c r="C226" s="376" t="s">
        <v>151</v>
      </c>
      <c r="D226" s="376">
        <v>10.0</v>
      </c>
      <c r="E226" s="376" t="s">
        <v>35</v>
      </c>
      <c r="F226" s="376" t="s">
        <v>818</v>
      </c>
      <c r="G226" s="376" t="s">
        <v>53</v>
      </c>
      <c r="H226" s="376" t="s">
        <v>161</v>
      </c>
      <c r="I226" s="376" t="s">
        <v>76</v>
      </c>
      <c r="J226" s="377">
        <v>3.554733153E9</v>
      </c>
      <c r="K226" s="37"/>
    </row>
    <row r="227">
      <c r="A227" s="126">
        <v>223.0</v>
      </c>
      <c r="B227" s="126" t="s">
        <v>785</v>
      </c>
      <c r="C227" s="376" t="s">
        <v>151</v>
      </c>
      <c r="D227" s="376">
        <v>15.0</v>
      </c>
      <c r="E227" s="376">
        <v>7.0</v>
      </c>
      <c r="F227" s="376" t="s">
        <v>820</v>
      </c>
      <c r="G227" s="376" t="s">
        <v>89</v>
      </c>
      <c r="H227" s="376" t="s">
        <v>369</v>
      </c>
      <c r="I227" s="376" t="s">
        <v>155</v>
      </c>
      <c r="J227" s="377">
        <v>3.123669554E9</v>
      </c>
      <c r="K227" s="37"/>
    </row>
    <row r="228">
      <c r="A228" s="126">
        <v>224.0</v>
      </c>
      <c r="B228" s="126" t="s">
        <v>785</v>
      </c>
      <c r="C228" s="376" t="s">
        <v>151</v>
      </c>
      <c r="D228" s="376">
        <v>17.0</v>
      </c>
      <c r="E228" s="376">
        <v>33.0</v>
      </c>
      <c r="F228" s="376" t="s">
        <v>821</v>
      </c>
      <c r="G228" s="376" t="s">
        <v>53</v>
      </c>
      <c r="H228" s="376" t="s">
        <v>360</v>
      </c>
      <c r="I228" s="376" t="s">
        <v>145</v>
      </c>
      <c r="J228" s="377">
        <v>3.824605531E9</v>
      </c>
      <c r="K228" s="37"/>
    </row>
    <row r="229">
      <c r="A229" s="126">
        <v>225.0</v>
      </c>
      <c r="B229" s="126" t="s">
        <v>785</v>
      </c>
      <c r="C229" s="376" t="s">
        <v>151</v>
      </c>
      <c r="D229" s="376">
        <v>19.0</v>
      </c>
      <c r="E229" s="376">
        <v>22.0</v>
      </c>
      <c r="F229" s="376" t="s">
        <v>822</v>
      </c>
      <c r="G229" s="376" t="s">
        <v>53</v>
      </c>
      <c r="H229" s="376" t="s">
        <v>161</v>
      </c>
      <c r="I229" s="376" t="s">
        <v>76</v>
      </c>
      <c r="J229" s="377">
        <v>4.151473187E9</v>
      </c>
      <c r="K229" s="37"/>
    </row>
    <row r="230">
      <c r="A230" s="126">
        <v>226.0</v>
      </c>
      <c r="B230" s="126" t="s">
        <v>785</v>
      </c>
      <c r="C230" s="376" t="s">
        <v>151</v>
      </c>
      <c r="D230" s="376" t="s">
        <v>228</v>
      </c>
      <c r="E230" s="376">
        <v>8.0</v>
      </c>
      <c r="F230" s="376" t="s">
        <v>825</v>
      </c>
      <c r="G230" s="376" t="s">
        <v>89</v>
      </c>
      <c r="H230" s="376" t="s">
        <v>369</v>
      </c>
      <c r="I230" s="395">
        <v>46053.0</v>
      </c>
      <c r="J230" s="377">
        <v>2.845928403E9</v>
      </c>
      <c r="K230" s="37"/>
    </row>
    <row r="231">
      <c r="A231" s="126">
        <v>227.0</v>
      </c>
      <c r="B231" s="126" t="s">
        <v>785</v>
      </c>
      <c r="C231" s="376" t="s">
        <v>151</v>
      </c>
      <c r="D231" s="376" t="s">
        <v>228</v>
      </c>
      <c r="E231" s="376">
        <v>16.0</v>
      </c>
      <c r="F231" s="376" t="s">
        <v>826</v>
      </c>
      <c r="G231" s="376" t="s">
        <v>53</v>
      </c>
      <c r="H231" s="376" t="s">
        <v>161</v>
      </c>
      <c r="I231" s="376" t="s">
        <v>222</v>
      </c>
      <c r="J231" s="377">
        <v>3.421726045E9</v>
      </c>
      <c r="K231" s="37"/>
    </row>
    <row r="232">
      <c r="A232" s="126">
        <v>228.0</v>
      </c>
      <c r="B232" s="126" t="s">
        <v>785</v>
      </c>
      <c r="C232" s="376" t="s">
        <v>151</v>
      </c>
      <c r="D232" s="376" t="s">
        <v>35</v>
      </c>
      <c r="E232" s="376">
        <v>20.0</v>
      </c>
      <c r="F232" s="376" t="s">
        <v>828</v>
      </c>
      <c r="G232" s="376" t="s">
        <v>53</v>
      </c>
      <c r="H232" s="376" t="s">
        <v>161</v>
      </c>
      <c r="I232" s="376" t="s">
        <v>129</v>
      </c>
      <c r="J232" s="377">
        <v>3.632685192E9</v>
      </c>
      <c r="K232" s="37"/>
    </row>
    <row r="233">
      <c r="A233" s="126">
        <v>229.0</v>
      </c>
      <c r="B233" s="126" t="s">
        <v>785</v>
      </c>
      <c r="C233" s="376" t="s">
        <v>33</v>
      </c>
      <c r="D233" s="376">
        <v>15.0</v>
      </c>
      <c r="E233" s="376">
        <v>31.0</v>
      </c>
      <c r="F233" s="376" t="s">
        <v>829</v>
      </c>
      <c r="G233" s="376" t="s">
        <v>53</v>
      </c>
      <c r="H233" s="376" t="s">
        <v>161</v>
      </c>
      <c r="I233" s="376" t="s">
        <v>157</v>
      </c>
      <c r="J233" s="377">
        <v>5.820232891E9</v>
      </c>
      <c r="K233" s="37"/>
    </row>
    <row r="234">
      <c r="A234" s="126">
        <v>230.0</v>
      </c>
      <c r="B234" s="126" t="s">
        <v>830</v>
      </c>
      <c r="C234" s="126" t="s">
        <v>33</v>
      </c>
      <c r="D234" s="122"/>
      <c r="E234" s="122"/>
      <c r="F234" s="385" t="s">
        <v>587</v>
      </c>
      <c r="G234" s="385" t="s">
        <v>53</v>
      </c>
      <c r="H234" s="385">
        <v>59.1</v>
      </c>
      <c r="I234" s="385">
        <v>54.6</v>
      </c>
      <c r="J234" s="386">
        <v>4.623334808E9</v>
      </c>
      <c r="K234" s="37"/>
    </row>
    <row r="235">
      <c r="A235" s="126">
        <v>231.0</v>
      </c>
      <c r="B235" s="126" t="s">
        <v>830</v>
      </c>
      <c r="C235" s="126" t="s">
        <v>22</v>
      </c>
      <c r="D235" s="122"/>
      <c r="E235" s="122"/>
      <c r="F235" s="385" t="s">
        <v>831</v>
      </c>
      <c r="G235" s="385" t="s">
        <v>53</v>
      </c>
      <c r="H235" s="385">
        <v>58.5</v>
      </c>
      <c r="I235" s="385">
        <v>52.8</v>
      </c>
      <c r="J235" s="386">
        <v>4.583750502E9</v>
      </c>
      <c r="K235" s="37"/>
    </row>
    <row r="236">
      <c r="A236" s="126">
        <v>232.0</v>
      </c>
      <c r="B236" s="126" t="s">
        <v>830</v>
      </c>
      <c r="C236" s="126" t="s">
        <v>51</v>
      </c>
      <c r="D236" s="122"/>
      <c r="E236" s="122"/>
      <c r="F236" s="385" t="s">
        <v>833</v>
      </c>
      <c r="G236" s="385" t="s">
        <v>24</v>
      </c>
      <c r="H236" s="385">
        <v>78.9</v>
      </c>
      <c r="I236" s="385">
        <v>73.8</v>
      </c>
      <c r="J236" s="386">
        <v>7.41878444E9</v>
      </c>
      <c r="K236" s="37"/>
    </row>
    <row r="237">
      <c r="A237" s="126">
        <v>233.0</v>
      </c>
      <c r="B237" s="126" t="s">
        <v>830</v>
      </c>
      <c r="C237" s="126" t="s">
        <v>51</v>
      </c>
      <c r="D237" s="122"/>
      <c r="E237" s="122"/>
      <c r="F237" s="385" t="s">
        <v>835</v>
      </c>
      <c r="G237" s="385" t="s">
        <v>89</v>
      </c>
      <c r="H237" s="385">
        <v>34.5</v>
      </c>
      <c r="I237" s="385">
        <v>30.0</v>
      </c>
      <c r="J237" s="386">
        <v>2.640088934E9</v>
      </c>
      <c r="K237" s="37"/>
    </row>
    <row r="238">
      <c r="A238" s="126">
        <v>234.0</v>
      </c>
      <c r="B238" s="126" t="s">
        <v>830</v>
      </c>
      <c r="C238" s="126" t="s">
        <v>51</v>
      </c>
      <c r="D238" s="122"/>
      <c r="E238" s="122"/>
      <c r="F238" s="385" t="s">
        <v>837</v>
      </c>
      <c r="G238" s="385" t="s">
        <v>24</v>
      </c>
      <c r="H238" s="385">
        <v>85.3</v>
      </c>
      <c r="I238" s="385">
        <v>76.0</v>
      </c>
      <c r="J238" s="386">
        <v>7.477049765E9</v>
      </c>
      <c r="K238" s="37"/>
    </row>
    <row r="239">
      <c r="A239" s="126">
        <v>235.0</v>
      </c>
      <c r="B239" s="126" t="s">
        <v>830</v>
      </c>
      <c r="C239" s="126" t="s">
        <v>51</v>
      </c>
      <c r="D239" s="122"/>
      <c r="E239" s="122"/>
      <c r="F239" s="385" t="s">
        <v>839</v>
      </c>
      <c r="G239" s="385" t="s">
        <v>24</v>
      </c>
      <c r="H239" s="385">
        <v>80.1</v>
      </c>
      <c r="I239" s="385">
        <v>70.5</v>
      </c>
      <c r="J239" s="386">
        <v>6.096003934E9</v>
      </c>
      <c r="K239" s="37"/>
    </row>
    <row r="240">
      <c r="A240" s="126">
        <v>236.0</v>
      </c>
      <c r="B240" s="126" t="s">
        <v>830</v>
      </c>
      <c r="C240" s="126" t="s">
        <v>51</v>
      </c>
      <c r="D240" s="122"/>
      <c r="E240" s="122"/>
      <c r="F240" s="385" t="s">
        <v>137</v>
      </c>
      <c r="G240" s="385" t="s">
        <v>53</v>
      </c>
      <c r="H240" s="385" t="s">
        <v>702</v>
      </c>
      <c r="I240" s="385" t="s">
        <v>120</v>
      </c>
      <c r="J240" s="386">
        <v>4.06766877E9</v>
      </c>
      <c r="K240" s="37"/>
    </row>
    <row r="241">
      <c r="A241" s="126">
        <v>237.0</v>
      </c>
      <c r="B241" s="126" t="s">
        <v>842</v>
      </c>
      <c r="C241" s="376" t="s">
        <v>151</v>
      </c>
      <c r="D241" s="122"/>
      <c r="E241" s="122"/>
      <c r="F241" s="355" t="s">
        <v>843</v>
      </c>
      <c r="G241" s="355" t="s">
        <v>53</v>
      </c>
      <c r="H241" s="355" t="s">
        <v>161</v>
      </c>
      <c r="I241" s="355" t="s">
        <v>76</v>
      </c>
      <c r="J241" s="359">
        <v>3.804909811E9</v>
      </c>
      <c r="K241" s="37"/>
    </row>
    <row r="242">
      <c r="A242" s="126">
        <v>238.0</v>
      </c>
      <c r="B242" s="126" t="s">
        <v>842</v>
      </c>
      <c r="C242" s="376" t="s">
        <v>151</v>
      </c>
      <c r="D242" s="122"/>
      <c r="E242" s="122"/>
      <c r="F242" s="355" t="s">
        <v>845</v>
      </c>
      <c r="G242" s="355" t="s">
        <v>24</v>
      </c>
      <c r="H242" s="355" t="s">
        <v>846</v>
      </c>
      <c r="I242" s="355" t="s">
        <v>216</v>
      </c>
      <c r="J242" s="359">
        <v>4.778709615E9</v>
      </c>
      <c r="K242" s="37"/>
    </row>
    <row r="243">
      <c r="A243" s="126">
        <v>239.0</v>
      </c>
      <c r="B243" s="126" t="s">
        <v>842</v>
      </c>
      <c r="C243" s="376" t="s">
        <v>151</v>
      </c>
      <c r="D243" s="122"/>
      <c r="E243" s="122"/>
      <c r="F243" s="355" t="s">
        <v>848</v>
      </c>
      <c r="G243" s="355" t="s">
        <v>53</v>
      </c>
      <c r="H243" s="355" t="s">
        <v>191</v>
      </c>
      <c r="I243" s="355" t="s">
        <v>447</v>
      </c>
      <c r="J243" s="359">
        <v>4.035275756E9</v>
      </c>
      <c r="K243" s="37"/>
    </row>
    <row r="244">
      <c r="A244" s="126">
        <v>240.0</v>
      </c>
      <c r="B244" s="126" t="s">
        <v>842</v>
      </c>
      <c r="C244" s="376" t="s">
        <v>850</v>
      </c>
      <c r="D244" s="122"/>
      <c r="E244" s="122"/>
      <c r="F244" s="376" t="s">
        <v>851</v>
      </c>
      <c r="G244" s="376" t="s">
        <v>53</v>
      </c>
      <c r="H244" s="376" t="s">
        <v>161</v>
      </c>
      <c r="I244" s="376" t="s">
        <v>157</v>
      </c>
      <c r="J244" s="377">
        <v>4.301572773E9</v>
      </c>
      <c r="K244" s="37"/>
    </row>
    <row r="245">
      <c r="A245" s="126">
        <v>241.0</v>
      </c>
      <c r="B245" s="126" t="s">
        <v>842</v>
      </c>
      <c r="C245" s="376" t="s">
        <v>850</v>
      </c>
      <c r="D245" s="122"/>
      <c r="E245" s="122"/>
      <c r="F245" s="376" t="s">
        <v>852</v>
      </c>
      <c r="G245" s="376" t="s">
        <v>53</v>
      </c>
      <c r="H245" s="376" t="s">
        <v>158</v>
      </c>
      <c r="I245" s="376" t="s">
        <v>129</v>
      </c>
      <c r="J245" s="377">
        <v>5.48351015E9</v>
      </c>
      <c r="K245" s="37"/>
    </row>
    <row r="246">
      <c r="A246" s="126">
        <v>242.0</v>
      </c>
      <c r="B246" s="126" t="s">
        <v>842</v>
      </c>
      <c r="C246" s="376" t="s">
        <v>850</v>
      </c>
      <c r="D246" s="122"/>
      <c r="E246" s="122"/>
      <c r="F246" s="376" t="s">
        <v>854</v>
      </c>
      <c r="G246" s="376" t="s">
        <v>53</v>
      </c>
      <c r="H246" s="376" t="s">
        <v>164</v>
      </c>
      <c r="I246" s="376" t="s">
        <v>288</v>
      </c>
      <c r="J246" s="377">
        <v>4.866075166E9</v>
      </c>
      <c r="K246" s="37"/>
    </row>
    <row r="247">
      <c r="A247" s="126">
        <v>243.0</v>
      </c>
      <c r="B247" s="126" t="s">
        <v>842</v>
      </c>
      <c r="C247" s="376" t="s">
        <v>850</v>
      </c>
      <c r="D247" s="122"/>
      <c r="E247" s="122"/>
      <c r="F247" s="376" t="s">
        <v>856</v>
      </c>
      <c r="G247" s="376" t="s">
        <v>53</v>
      </c>
      <c r="H247" s="376" t="s">
        <v>161</v>
      </c>
      <c r="I247" s="376" t="s">
        <v>157</v>
      </c>
      <c r="J247" s="377">
        <v>5.556392251E9</v>
      </c>
      <c r="K247" s="37"/>
    </row>
    <row r="248">
      <c r="A248" s="126">
        <v>244.0</v>
      </c>
      <c r="B248" s="126" t="s">
        <v>842</v>
      </c>
      <c r="C248" s="376" t="s">
        <v>850</v>
      </c>
      <c r="D248" s="122"/>
      <c r="E248" s="122"/>
      <c r="F248" s="376" t="s">
        <v>857</v>
      </c>
      <c r="G248" s="376" t="s">
        <v>53</v>
      </c>
      <c r="H248" s="376" t="s">
        <v>161</v>
      </c>
      <c r="I248" s="376" t="s">
        <v>157</v>
      </c>
      <c r="J248" s="377">
        <v>4.367413758E9</v>
      </c>
      <c r="K248" s="37"/>
    </row>
    <row r="249">
      <c r="A249" s="126">
        <v>245.0</v>
      </c>
      <c r="B249" s="126" t="s">
        <v>842</v>
      </c>
      <c r="C249" s="376" t="s">
        <v>850</v>
      </c>
      <c r="D249" s="122"/>
      <c r="E249" s="122"/>
      <c r="F249" s="376" t="s">
        <v>858</v>
      </c>
      <c r="G249" s="376" t="s">
        <v>53</v>
      </c>
      <c r="H249" s="376" t="s">
        <v>158</v>
      </c>
      <c r="I249" s="376" t="s">
        <v>129</v>
      </c>
      <c r="J249" s="377">
        <v>5.903642709E9</v>
      </c>
      <c r="K249" s="37"/>
    </row>
    <row r="250">
      <c r="A250" s="126">
        <v>246.0</v>
      </c>
      <c r="B250" s="126" t="s">
        <v>842</v>
      </c>
      <c r="C250" s="376" t="s">
        <v>850</v>
      </c>
      <c r="D250" s="122"/>
      <c r="E250" s="122"/>
      <c r="F250" s="376" t="s">
        <v>831</v>
      </c>
      <c r="G250" s="376" t="s">
        <v>53</v>
      </c>
      <c r="H250" s="376" t="s">
        <v>161</v>
      </c>
      <c r="I250" s="376" t="s">
        <v>861</v>
      </c>
      <c r="J250" s="377">
        <v>4.642142228E9</v>
      </c>
      <c r="K250" s="37"/>
    </row>
    <row r="251">
      <c r="A251" s="126">
        <v>247.0</v>
      </c>
      <c r="B251" s="126" t="s">
        <v>842</v>
      </c>
      <c r="C251" s="376" t="s">
        <v>850</v>
      </c>
      <c r="D251" s="122"/>
      <c r="E251" s="122"/>
      <c r="F251" s="376" t="s">
        <v>862</v>
      </c>
      <c r="G251" s="376" t="s">
        <v>53</v>
      </c>
      <c r="H251" s="376" t="s">
        <v>161</v>
      </c>
      <c r="I251" s="376" t="s">
        <v>222</v>
      </c>
      <c r="J251" s="377">
        <v>4.804260509E9</v>
      </c>
      <c r="K251" s="37"/>
    </row>
    <row r="252">
      <c r="A252" s="126">
        <v>248.0</v>
      </c>
      <c r="B252" s="126" t="s">
        <v>842</v>
      </c>
      <c r="C252" s="376" t="s">
        <v>850</v>
      </c>
      <c r="D252" s="122"/>
      <c r="E252" s="122"/>
      <c r="F252" s="376" t="s">
        <v>863</v>
      </c>
      <c r="G252" s="376" t="s">
        <v>53</v>
      </c>
      <c r="H252" s="376" t="s">
        <v>864</v>
      </c>
      <c r="I252" s="376" t="s">
        <v>164</v>
      </c>
      <c r="J252" s="377">
        <v>4.81738012E9</v>
      </c>
      <c r="K252" s="37"/>
    </row>
    <row r="253">
      <c r="A253" s="126">
        <v>249.0</v>
      </c>
      <c r="B253" s="126" t="s">
        <v>842</v>
      </c>
      <c r="C253" s="376" t="s">
        <v>866</v>
      </c>
      <c r="D253" s="122"/>
      <c r="E253" s="122"/>
      <c r="F253" s="376" t="s">
        <v>868</v>
      </c>
      <c r="G253" s="376" t="s">
        <v>53</v>
      </c>
      <c r="H253" s="376" t="s">
        <v>161</v>
      </c>
      <c r="I253" s="376" t="s">
        <v>76</v>
      </c>
      <c r="J253" s="377">
        <v>6.177945813E9</v>
      </c>
      <c r="K253" s="37"/>
    </row>
    <row r="254">
      <c r="A254" s="126">
        <v>250.0</v>
      </c>
      <c r="B254" s="126" t="s">
        <v>842</v>
      </c>
      <c r="C254" s="376" t="s">
        <v>869</v>
      </c>
      <c r="D254" s="122"/>
      <c r="E254" s="122"/>
      <c r="F254" s="376" t="s">
        <v>755</v>
      </c>
      <c r="G254" s="376" t="s">
        <v>53</v>
      </c>
      <c r="H254" s="376" t="s">
        <v>360</v>
      </c>
      <c r="I254" s="376" t="s">
        <v>145</v>
      </c>
      <c r="J254" s="377">
        <v>3.572877212E9</v>
      </c>
      <c r="K254" s="37"/>
    </row>
    <row r="255">
      <c r="A255" s="126">
        <v>251.0</v>
      </c>
      <c r="B255" s="126" t="s">
        <v>842</v>
      </c>
      <c r="C255" s="376" t="s">
        <v>869</v>
      </c>
      <c r="D255" s="122"/>
      <c r="E255" s="122"/>
      <c r="F255" s="376" t="s">
        <v>870</v>
      </c>
      <c r="G255" s="376" t="s">
        <v>53</v>
      </c>
      <c r="H255" s="376" t="s">
        <v>161</v>
      </c>
      <c r="I255" s="376" t="s">
        <v>222</v>
      </c>
      <c r="J255" s="377">
        <v>4.656289064E9</v>
      </c>
      <c r="K255" s="37"/>
    </row>
    <row r="256">
      <c r="A256" s="126">
        <v>252.0</v>
      </c>
      <c r="B256" s="126" t="s">
        <v>842</v>
      </c>
      <c r="C256" s="376" t="s">
        <v>869</v>
      </c>
      <c r="D256" s="122"/>
      <c r="E256" s="122"/>
      <c r="F256" s="376" t="s">
        <v>872</v>
      </c>
      <c r="G256" s="376" t="s">
        <v>53</v>
      </c>
      <c r="H256" s="376" t="s">
        <v>191</v>
      </c>
      <c r="I256" s="376" t="s">
        <v>209</v>
      </c>
      <c r="J256" s="377">
        <v>5.127005089E9</v>
      </c>
      <c r="K256" s="37"/>
    </row>
    <row r="257">
      <c r="A257" s="126">
        <v>253.0</v>
      </c>
      <c r="B257" s="126" t="s">
        <v>842</v>
      </c>
      <c r="C257" s="376" t="s">
        <v>869</v>
      </c>
      <c r="D257" s="122"/>
      <c r="E257" s="122"/>
      <c r="F257" s="376" t="s">
        <v>873</v>
      </c>
      <c r="G257" s="376" t="s">
        <v>53</v>
      </c>
      <c r="H257" s="376" t="s">
        <v>161</v>
      </c>
      <c r="I257" s="376" t="s">
        <v>197</v>
      </c>
      <c r="J257" s="377">
        <v>4.743979556E9</v>
      </c>
      <c r="K257" s="37"/>
    </row>
    <row r="258">
      <c r="A258" s="126">
        <v>254.0</v>
      </c>
      <c r="B258" s="126" t="s">
        <v>842</v>
      </c>
      <c r="C258" s="376" t="s">
        <v>869</v>
      </c>
      <c r="D258" s="122"/>
      <c r="E258" s="122"/>
      <c r="F258" s="376" t="s">
        <v>874</v>
      </c>
      <c r="G258" s="376" t="s">
        <v>53</v>
      </c>
      <c r="H258" s="376" t="s">
        <v>161</v>
      </c>
      <c r="I258" s="376" t="s">
        <v>76</v>
      </c>
      <c r="J258" s="377">
        <v>3.546611176E9</v>
      </c>
      <c r="K258" s="37"/>
    </row>
    <row r="259">
      <c r="A259" s="126">
        <v>255.0</v>
      </c>
      <c r="B259" s="126" t="s">
        <v>842</v>
      </c>
      <c r="C259" s="376" t="s">
        <v>869</v>
      </c>
      <c r="D259" s="122"/>
      <c r="E259" s="122"/>
      <c r="F259" s="376" t="s">
        <v>876</v>
      </c>
      <c r="G259" s="376" t="s">
        <v>53</v>
      </c>
      <c r="H259" s="376" t="s">
        <v>191</v>
      </c>
      <c r="I259" s="376" t="s">
        <v>190</v>
      </c>
      <c r="J259" s="377">
        <v>5.53639811E9</v>
      </c>
      <c r="K259" s="37"/>
    </row>
    <row r="260">
      <c r="A260" s="126">
        <v>256.0</v>
      </c>
      <c r="B260" s="126" t="s">
        <v>842</v>
      </c>
      <c r="C260" s="376" t="s">
        <v>869</v>
      </c>
      <c r="D260" s="122"/>
      <c r="E260" s="122"/>
      <c r="F260" s="376" t="s">
        <v>877</v>
      </c>
      <c r="G260" s="376" t="s">
        <v>53</v>
      </c>
      <c r="H260" s="376" t="s">
        <v>161</v>
      </c>
      <c r="I260" s="376" t="s">
        <v>181</v>
      </c>
      <c r="J260" s="377">
        <v>5.209197396E9</v>
      </c>
      <c r="K260" s="37"/>
    </row>
    <row r="261">
      <c r="A261" s="126">
        <v>257.0</v>
      </c>
      <c r="B261" s="126" t="s">
        <v>842</v>
      </c>
      <c r="C261" s="376" t="s">
        <v>869</v>
      </c>
      <c r="D261" s="122"/>
      <c r="E261" s="122"/>
      <c r="F261" s="376" t="s">
        <v>878</v>
      </c>
      <c r="G261" s="376" t="s">
        <v>53</v>
      </c>
      <c r="H261" s="376" t="s">
        <v>161</v>
      </c>
      <c r="I261" s="376" t="s">
        <v>197</v>
      </c>
      <c r="J261" s="377">
        <v>5.166840681E9</v>
      </c>
      <c r="K261" s="37"/>
    </row>
    <row r="262">
      <c r="A262" s="126">
        <v>258.0</v>
      </c>
      <c r="B262" s="126" t="s">
        <v>842</v>
      </c>
      <c r="C262" s="376" t="s">
        <v>869</v>
      </c>
      <c r="D262" s="122"/>
      <c r="E262" s="122"/>
      <c r="F262" s="376" t="s">
        <v>881</v>
      </c>
      <c r="G262" s="376" t="s">
        <v>53</v>
      </c>
      <c r="H262" s="376" t="s">
        <v>161</v>
      </c>
      <c r="I262" s="376" t="s">
        <v>76</v>
      </c>
      <c r="J262" s="377">
        <v>4.321350927E9</v>
      </c>
      <c r="K262" s="37"/>
    </row>
    <row r="263">
      <c r="A263" s="126">
        <v>259.0</v>
      </c>
      <c r="B263" s="126" t="s">
        <v>842</v>
      </c>
      <c r="C263" s="376" t="s">
        <v>869</v>
      </c>
      <c r="D263" s="122"/>
      <c r="E263" s="122"/>
      <c r="F263" s="376" t="s">
        <v>882</v>
      </c>
      <c r="G263" s="376" t="s">
        <v>53</v>
      </c>
      <c r="H263" s="376" t="s">
        <v>161</v>
      </c>
      <c r="I263" s="376" t="s">
        <v>157</v>
      </c>
      <c r="J263" s="377">
        <v>4.107690073E9</v>
      </c>
      <c r="K263" s="37"/>
    </row>
    <row r="264">
      <c r="A264" s="126">
        <v>260.0</v>
      </c>
      <c r="B264" s="126" t="s">
        <v>842</v>
      </c>
      <c r="C264" s="376" t="s">
        <v>869</v>
      </c>
      <c r="D264" s="122"/>
      <c r="E264" s="122"/>
      <c r="F264" s="376" t="s">
        <v>883</v>
      </c>
      <c r="G264" s="376" t="s">
        <v>53</v>
      </c>
      <c r="H264" s="376" t="s">
        <v>161</v>
      </c>
      <c r="I264" s="376" t="s">
        <v>76</v>
      </c>
      <c r="J264" s="377">
        <v>3.760231974E9</v>
      </c>
      <c r="K264" s="37"/>
    </row>
    <row r="265">
      <c r="A265" s="126">
        <v>261.0</v>
      </c>
      <c r="B265" s="126" t="s">
        <v>842</v>
      </c>
      <c r="C265" s="376" t="s">
        <v>869</v>
      </c>
      <c r="D265" s="122"/>
      <c r="E265" s="122"/>
      <c r="F265" s="376" t="s">
        <v>885</v>
      </c>
      <c r="G265" s="376" t="s">
        <v>89</v>
      </c>
      <c r="H265" s="376" t="s">
        <v>369</v>
      </c>
      <c r="I265" s="376" t="s">
        <v>155</v>
      </c>
      <c r="J265" s="377">
        <v>3.344802717E9</v>
      </c>
      <c r="K265" s="37"/>
    </row>
    <row r="266">
      <c r="A266" s="126">
        <v>262.0</v>
      </c>
      <c r="B266" s="126" t="s">
        <v>842</v>
      </c>
      <c r="C266" s="376" t="s">
        <v>850</v>
      </c>
      <c r="D266" s="122"/>
      <c r="E266" s="122"/>
      <c r="F266" s="376" t="s">
        <v>886</v>
      </c>
      <c r="G266" s="376" t="s">
        <v>24</v>
      </c>
      <c r="H266" s="376" t="s">
        <v>887</v>
      </c>
      <c r="I266" s="376" t="s">
        <v>403</v>
      </c>
      <c r="J266" s="377">
        <v>7.571477099E9</v>
      </c>
      <c r="K266" s="37"/>
    </row>
    <row r="267">
      <c r="A267" s="126">
        <v>263.0</v>
      </c>
      <c r="B267" s="126" t="s">
        <v>842</v>
      </c>
      <c r="C267" s="376" t="s">
        <v>850</v>
      </c>
      <c r="D267" s="122"/>
      <c r="E267" s="122"/>
      <c r="F267" s="376" t="s">
        <v>889</v>
      </c>
      <c r="G267" s="376" t="s">
        <v>24</v>
      </c>
      <c r="H267" s="376" t="s">
        <v>887</v>
      </c>
      <c r="I267" s="376" t="s">
        <v>403</v>
      </c>
      <c r="J267" s="377">
        <v>6.996172513E9</v>
      </c>
      <c r="K267" s="37"/>
    </row>
    <row r="268">
      <c r="A268" s="126">
        <v>264.0</v>
      </c>
      <c r="B268" s="126" t="s">
        <v>842</v>
      </c>
      <c r="C268" s="376" t="s">
        <v>869</v>
      </c>
      <c r="D268" s="122"/>
      <c r="E268" s="122"/>
      <c r="F268" s="376" t="s">
        <v>890</v>
      </c>
      <c r="G268" s="376" t="s">
        <v>24</v>
      </c>
      <c r="H268" s="376" t="s">
        <v>316</v>
      </c>
      <c r="I268" s="376" t="s">
        <v>202</v>
      </c>
      <c r="J268" s="377">
        <v>6.660112029E9</v>
      </c>
      <c r="K268" s="37"/>
    </row>
    <row r="269">
      <c r="A269" s="126">
        <v>265.0</v>
      </c>
      <c r="B269" s="126" t="s">
        <v>842</v>
      </c>
      <c r="C269" s="376" t="s">
        <v>869</v>
      </c>
      <c r="D269" s="122"/>
      <c r="E269" s="122"/>
      <c r="F269" s="376" t="s">
        <v>891</v>
      </c>
      <c r="G269" s="376" t="s">
        <v>24</v>
      </c>
      <c r="H269" s="376" t="s">
        <v>316</v>
      </c>
      <c r="I269" s="376" t="s">
        <v>202</v>
      </c>
      <c r="J269" s="377">
        <v>6.660112029E9</v>
      </c>
      <c r="K269" s="37"/>
    </row>
    <row r="270">
      <c r="A270" s="126">
        <v>266.0</v>
      </c>
      <c r="B270" s="126" t="s">
        <v>842</v>
      </c>
      <c r="C270" s="376" t="s">
        <v>893</v>
      </c>
      <c r="D270" s="122"/>
      <c r="E270" s="122"/>
      <c r="F270" s="376" t="s">
        <v>894</v>
      </c>
      <c r="G270" s="376" t="s">
        <v>24</v>
      </c>
      <c r="H270" s="376" t="s">
        <v>318</v>
      </c>
      <c r="I270" s="376" t="s">
        <v>69</v>
      </c>
      <c r="J270" s="377">
        <v>7.6960561E9</v>
      </c>
      <c r="K270" s="37"/>
    </row>
    <row r="271">
      <c r="A271" s="126">
        <v>267.0</v>
      </c>
      <c r="B271" s="126" t="s">
        <v>842</v>
      </c>
      <c r="C271" s="376" t="s">
        <v>893</v>
      </c>
      <c r="D271" s="122"/>
      <c r="E271" s="122"/>
      <c r="F271" s="376" t="s">
        <v>895</v>
      </c>
      <c r="G271" s="376" t="s">
        <v>24</v>
      </c>
      <c r="H271" s="376" t="s">
        <v>896</v>
      </c>
      <c r="I271" s="376" t="s">
        <v>133</v>
      </c>
      <c r="J271" s="377">
        <v>6.311254531E9</v>
      </c>
      <c r="K271" s="37"/>
    </row>
    <row r="272">
      <c r="A272" s="126">
        <v>268.0</v>
      </c>
      <c r="B272" s="126" t="s">
        <v>842</v>
      </c>
      <c r="C272" s="376" t="s">
        <v>893</v>
      </c>
      <c r="D272" s="122"/>
      <c r="E272" s="122"/>
      <c r="F272" s="376" t="s">
        <v>897</v>
      </c>
      <c r="G272" s="376" t="s">
        <v>89</v>
      </c>
      <c r="H272" s="376" t="s">
        <v>299</v>
      </c>
      <c r="I272" s="376" t="s">
        <v>707</v>
      </c>
      <c r="J272" s="377">
        <v>3.342440426E9</v>
      </c>
      <c r="K272" s="37"/>
    </row>
    <row r="273">
      <c r="A273" s="126">
        <v>269.0</v>
      </c>
      <c r="B273" s="126" t="s">
        <v>842</v>
      </c>
      <c r="C273" s="376" t="s">
        <v>893</v>
      </c>
      <c r="D273" s="122"/>
      <c r="E273" s="122"/>
      <c r="F273" s="376" t="s">
        <v>899</v>
      </c>
      <c r="G273" s="376" t="s">
        <v>89</v>
      </c>
      <c r="H273" s="376" t="s">
        <v>426</v>
      </c>
      <c r="I273" s="376" t="s">
        <v>727</v>
      </c>
      <c r="J273" s="377">
        <v>2.75602647E9</v>
      </c>
      <c r="K273" s="37"/>
    </row>
    <row r="274">
      <c r="A274" s="126">
        <v>270.0</v>
      </c>
      <c r="B274" s="126" t="s">
        <v>842</v>
      </c>
      <c r="C274" s="126" t="s">
        <v>51</v>
      </c>
      <c r="D274" s="122"/>
      <c r="E274" s="122"/>
      <c r="F274" s="385" t="s">
        <v>900</v>
      </c>
      <c r="G274" s="385" t="s">
        <v>89</v>
      </c>
      <c r="H274" s="385" t="s">
        <v>299</v>
      </c>
      <c r="I274" s="385" t="s">
        <v>707</v>
      </c>
      <c r="J274" s="386">
        <v>3.059154848E9</v>
      </c>
      <c r="K274" s="37"/>
    </row>
    <row r="275">
      <c r="A275" s="126">
        <v>271.0</v>
      </c>
      <c r="B275" s="126" t="s">
        <v>842</v>
      </c>
      <c r="C275" s="126" t="s">
        <v>51</v>
      </c>
      <c r="D275" s="122"/>
      <c r="E275" s="122"/>
      <c r="F275" s="385" t="s">
        <v>901</v>
      </c>
      <c r="G275" s="385" t="s">
        <v>89</v>
      </c>
      <c r="H275" s="385" t="s">
        <v>299</v>
      </c>
      <c r="I275" s="385" t="s">
        <v>300</v>
      </c>
      <c r="J275" s="386">
        <v>3.291153962E9</v>
      </c>
      <c r="K275" s="37"/>
    </row>
    <row r="276">
      <c r="A276" s="126">
        <v>272.0</v>
      </c>
      <c r="B276" s="126" t="s">
        <v>842</v>
      </c>
      <c r="C276" s="126" t="s">
        <v>51</v>
      </c>
      <c r="D276" s="122"/>
      <c r="E276" s="122"/>
      <c r="F276" s="385" t="s">
        <v>902</v>
      </c>
      <c r="G276" s="385" t="s">
        <v>89</v>
      </c>
      <c r="H276" s="385" t="s">
        <v>299</v>
      </c>
      <c r="I276" s="385" t="s">
        <v>707</v>
      </c>
      <c r="J276" s="386">
        <v>3.484083216E9</v>
      </c>
      <c r="K276" s="37"/>
    </row>
    <row r="277">
      <c r="A277" s="126">
        <v>273.0</v>
      </c>
      <c r="B277" s="126" t="s">
        <v>842</v>
      </c>
      <c r="C277" s="126" t="s">
        <v>51</v>
      </c>
      <c r="D277" s="122"/>
      <c r="E277" s="122"/>
      <c r="F277" s="385" t="s">
        <v>903</v>
      </c>
      <c r="G277" s="385" t="s">
        <v>53</v>
      </c>
      <c r="H277" s="385" t="s">
        <v>287</v>
      </c>
      <c r="I277" s="385" t="s">
        <v>288</v>
      </c>
      <c r="J277" s="386">
        <v>3.64895254E9</v>
      </c>
      <c r="K277" s="37"/>
    </row>
    <row r="278">
      <c r="A278" s="126">
        <v>274.0</v>
      </c>
      <c r="B278" s="126" t="s">
        <v>842</v>
      </c>
      <c r="C278" s="126" t="s">
        <v>51</v>
      </c>
      <c r="D278" s="122"/>
      <c r="E278" s="122"/>
      <c r="F278" s="385" t="s">
        <v>904</v>
      </c>
      <c r="G278" s="385" t="s">
        <v>53</v>
      </c>
      <c r="H278" s="385" t="s">
        <v>702</v>
      </c>
      <c r="I278" s="385" t="s">
        <v>120</v>
      </c>
      <c r="J278" s="386">
        <v>3.838039225E9</v>
      </c>
      <c r="K278" s="37"/>
    </row>
    <row r="279">
      <c r="A279" s="126">
        <v>275.0</v>
      </c>
      <c r="B279" s="126" t="s">
        <v>842</v>
      </c>
      <c r="C279" s="126" t="s">
        <v>51</v>
      </c>
      <c r="D279" s="122"/>
      <c r="E279" s="122"/>
      <c r="F279" s="385" t="s">
        <v>905</v>
      </c>
      <c r="G279" s="385" t="s">
        <v>53</v>
      </c>
      <c r="H279" s="385" t="s">
        <v>702</v>
      </c>
      <c r="I279" s="385" t="s">
        <v>120</v>
      </c>
      <c r="J279" s="386">
        <v>4.239890929E9</v>
      </c>
      <c r="K279" s="37"/>
    </row>
    <row r="280">
      <c r="A280" s="126">
        <v>276.0</v>
      </c>
      <c r="B280" s="126" t="s">
        <v>842</v>
      </c>
      <c r="C280" s="126" t="s">
        <v>51</v>
      </c>
      <c r="D280" s="122"/>
      <c r="E280" s="122"/>
      <c r="F280" s="385" t="s">
        <v>907</v>
      </c>
      <c r="G280" s="385" t="s">
        <v>53</v>
      </c>
      <c r="H280" s="385" t="s">
        <v>910</v>
      </c>
      <c r="I280" s="385" t="s">
        <v>99</v>
      </c>
      <c r="J280" s="386">
        <v>4.241394585E9</v>
      </c>
      <c r="K280" s="37"/>
    </row>
    <row r="281">
      <c r="A281" s="126">
        <v>277.0</v>
      </c>
      <c r="B281" s="126" t="s">
        <v>842</v>
      </c>
      <c r="C281" s="126" t="s">
        <v>51</v>
      </c>
      <c r="D281" s="122"/>
      <c r="E281" s="122"/>
      <c r="F281" s="385" t="s">
        <v>912</v>
      </c>
      <c r="G281" s="385" t="s">
        <v>53</v>
      </c>
      <c r="H281" s="385" t="s">
        <v>287</v>
      </c>
      <c r="I281" s="385" t="s">
        <v>681</v>
      </c>
      <c r="J281" s="386">
        <v>4.279644175E9</v>
      </c>
      <c r="K281" s="37"/>
    </row>
    <row r="282">
      <c r="A282" s="126">
        <v>278.0</v>
      </c>
      <c r="B282" s="126" t="s">
        <v>842</v>
      </c>
      <c r="C282" s="126" t="s">
        <v>51</v>
      </c>
      <c r="D282" s="122"/>
      <c r="E282" s="122"/>
      <c r="F282" s="385" t="s">
        <v>917</v>
      </c>
      <c r="G282" s="385" t="s">
        <v>53</v>
      </c>
      <c r="H282" s="385" t="s">
        <v>910</v>
      </c>
      <c r="I282" s="385" t="s">
        <v>99</v>
      </c>
      <c r="J282" s="386">
        <v>4.529059148E9</v>
      </c>
      <c r="K282" s="37"/>
    </row>
    <row r="283">
      <c r="A283" s="126">
        <v>279.0</v>
      </c>
      <c r="B283" s="126" t="s">
        <v>842</v>
      </c>
      <c r="C283" s="126" t="s">
        <v>51</v>
      </c>
      <c r="D283" s="122"/>
      <c r="E283" s="122"/>
      <c r="F283" s="385" t="s">
        <v>918</v>
      </c>
      <c r="G283" s="385" t="s">
        <v>53</v>
      </c>
      <c r="H283" s="385" t="s">
        <v>910</v>
      </c>
      <c r="I283" s="385" t="s">
        <v>99</v>
      </c>
      <c r="J283" s="386">
        <v>4.720835524E9</v>
      </c>
      <c r="K283" s="37"/>
    </row>
    <row r="284">
      <c r="A284" s="126">
        <v>280.0</v>
      </c>
      <c r="B284" s="126" t="s">
        <v>842</v>
      </c>
      <c r="C284" s="126" t="s">
        <v>51</v>
      </c>
      <c r="D284" s="122"/>
      <c r="E284" s="122"/>
      <c r="F284" s="385" t="s">
        <v>920</v>
      </c>
      <c r="G284" s="385" t="s">
        <v>53</v>
      </c>
      <c r="H284" s="385">
        <v>59.0</v>
      </c>
      <c r="I284" s="385" t="s">
        <v>61</v>
      </c>
      <c r="J284" s="386">
        <v>4.915157476E9</v>
      </c>
      <c r="K284" s="37"/>
    </row>
    <row r="285">
      <c r="A285" s="126">
        <v>281.0</v>
      </c>
      <c r="B285" s="126" t="s">
        <v>842</v>
      </c>
      <c r="C285" s="126" t="s">
        <v>51</v>
      </c>
      <c r="D285" s="122"/>
      <c r="E285" s="122"/>
      <c r="F285" s="385" t="s">
        <v>922</v>
      </c>
      <c r="G285" s="385" t="s">
        <v>24</v>
      </c>
      <c r="H285" s="385" t="s">
        <v>342</v>
      </c>
      <c r="I285" s="385" t="s">
        <v>86</v>
      </c>
      <c r="J285" s="386">
        <v>5.058543757E9</v>
      </c>
      <c r="K285" s="37"/>
    </row>
    <row r="286">
      <c r="A286" s="126">
        <v>282.0</v>
      </c>
      <c r="B286" s="126" t="s">
        <v>842</v>
      </c>
      <c r="C286" s="126" t="s">
        <v>51</v>
      </c>
      <c r="D286" s="122"/>
      <c r="E286" s="122"/>
      <c r="F286" s="385" t="s">
        <v>924</v>
      </c>
      <c r="G286" s="385" t="s">
        <v>53</v>
      </c>
      <c r="H286" s="385" t="s">
        <v>339</v>
      </c>
      <c r="I286" s="385" t="s">
        <v>76</v>
      </c>
      <c r="J286" s="386">
        <v>5.164272324E9</v>
      </c>
      <c r="K286" s="37"/>
    </row>
    <row r="287">
      <c r="A287" s="126">
        <v>283.0</v>
      </c>
      <c r="B287" s="126" t="s">
        <v>842</v>
      </c>
      <c r="C287" s="126" t="s">
        <v>51</v>
      </c>
      <c r="D287" s="122"/>
      <c r="E287" s="122"/>
      <c r="F287" s="385" t="s">
        <v>925</v>
      </c>
      <c r="G287" s="385" t="s">
        <v>24</v>
      </c>
      <c r="H287" s="385" t="s">
        <v>342</v>
      </c>
      <c r="I287" s="385" t="s">
        <v>86</v>
      </c>
      <c r="J287" s="386">
        <v>5.27265285E9</v>
      </c>
      <c r="K287" s="37"/>
    </row>
    <row r="288">
      <c r="A288" s="126">
        <v>284.0</v>
      </c>
      <c r="B288" s="126" t="s">
        <v>842</v>
      </c>
      <c r="C288" s="126" t="s">
        <v>51</v>
      </c>
      <c r="D288" s="122"/>
      <c r="E288" s="122"/>
      <c r="F288" s="385" t="s">
        <v>927</v>
      </c>
      <c r="G288" s="385" t="s">
        <v>24</v>
      </c>
      <c r="H288" s="385">
        <v>80.0</v>
      </c>
      <c r="I288" s="385" t="s">
        <v>697</v>
      </c>
      <c r="J288" s="386">
        <v>6.139346628E9</v>
      </c>
      <c r="K288" s="37"/>
    </row>
    <row r="289">
      <c r="A289" s="126">
        <v>285.0</v>
      </c>
      <c r="B289" s="126" t="s">
        <v>842</v>
      </c>
      <c r="C289" s="126" t="s">
        <v>51</v>
      </c>
      <c r="D289" s="122"/>
      <c r="E289" s="122"/>
      <c r="F289" s="385" t="s">
        <v>930</v>
      </c>
      <c r="G289" s="385" t="s">
        <v>24</v>
      </c>
      <c r="H289" s="385" t="s">
        <v>335</v>
      </c>
      <c r="I289" s="385" t="s">
        <v>72</v>
      </c>
      <c r="J289" s="386">
        <v>6.157174653E9</v>
      </c>
      <c r="K289" s="37"/>
    </row>
    <row r="290">
      <c r="A290" s="126">
        <v>286.0</v>
      </c>
      <c r="B290" s="126" t="s">
        <v>931</v>
      </c>
      <c r="C290" s="385" t="s">
        <v>151</v>
      </c>
      <c r="D290" s="385">
        <v>12.0</v>
      </c>
      <c r="E290" s="385">
        <v>32.0</v>
      </c>
      <c r="F290" s="385" t="s">
        <v>932</v>
      </c>
      <c r="G290" s="385" t="s">
        <v>53</v>
      </c>
      <c r="H290" s="122"/>
      <c r="I290" s="385" t="s">
        <v>288</v>
      </c>
      <c r="J290" s="386">
        <v>3.463778419E9</v>
      </c>
      <c r="K290" s="37"/>
    </row>
    <row r="291">
      <c r="A291" s="126">
        <v>287.0</v>
      </c>
      <c r="B291" s="126" t="s">
        <v>931</v>
      </c>
      <c r="C291" s="385" t="s">
        <v>151</v>
      </c>
      <c r="D291" s="385">
        <v>8.0</v>
      </c>
      <c r="E291" s="385">
        <v>11.0</v>
      </c>
      <c r="F291" s="385" t="s">
        <v>935</v>
      </c>
      <c r="G291" s="385" t="s">
        <v>53</v>
      </c>
      <c r="H291" s="122"/>
      <c r="I291" s="385">
        <v>50.9</v>
      </c>
      <c r="J291" s="386">
        <v>3.188266068E9</v>
      </c>
      <c r="K291" s="37"/>
    </row>
    <row r="292">
      <c r="A292" s="126">
        <v>288.0</v>
      </c>
      <c r="B292" s="126" t="s">
        <v>931</v>
      </c>
      <c r="C292" s="385" t="s">
        <v>151</v>
      </c>
      <c r="D292" s="385">
        <v>8.0</v>
      </c>
      <c r="E292" s="385">
        <v>32.0</v>
      </c>
      <c r="F292" s="385" t="s">
        <v>937</v>
      </c>
      <c r="G292" s="385" t="s">
        <v>53</v>
      </c>
      <c r="H292" s="122"/>
      <c r="I292" s="385">
        <v>52.1</v>
      </c>
      <c r="J292" s="386">
        <v>3.36251764E9</v>
      </c>
      <c r="K292" s="37"/>
    </row>
    <row r="293">
      <c r="A293" s="126">
        <v>289.0</v>
      </c>
      <c r="B293" s="126" t="s">
        <v>931</v>
      </c>
      <c r="C293" s="385" t="s">
        <v>151</v>
      </c>
      <c r="D293" s="385">
        <v>8.0</v>
      </c>
      <c r="E293" s="385">
        <v>35.0</v>
      </c>
      <c r="F293" s="385" t="s">
        <v>938</v>
      </c>
      <c r="G293" s="385" t="s">
        <v>89</v>
      </c>
      <c r="H293" s="122"/>
      <c r="I293" s="385">
        <v>33.2</v>
      </c>
      <c r="J293" s="386">
        <v>2.896405891E9</v>
      </c>
      <c r="K293" s="37"/>
    </row>
    <row r="294">
      <c r="A294" s="126">
        <v>290.0</v>
      </c>
      <c r="B294" s="126" t="s">
        <v>931</v>
      </c>
      <c r="C294" s="385" t="s">
        <v>151</v>
      </c>
      <c r="D294" s="385">
        <v>19.0</v>
      </c>
      <c r="E294" s="385">
        <v>31.0</v>
      </c>
      <c r="F294" s="385" t="s">
        <v>939</v>
      </c>
      <c r="G294" s="385" t="s">
        <v>24</v>
      </c>
      <c r="H294" s="122"/>
      <c r="I294" s="385">
        <v>72.6</v>
      </c>
      <c r="J294" s="386">
        <v>4.81215768E9</v>
      </c>
      <c r="K294" s="37"/>
    </row>
    <row r="295">
      <c r="A295" s="126">
        <v>291.0</v>
      </c>
      <c r="B295" s="126" t="s">
        <v>931</v>
      </c>
      <c r="C295" s="385" t="s">
        <v>151</v>
      </c>
      <c r="D295" s="385" t="s">
        <v>35</v>
      </c>
      <c r="E295" s="385">
        <v>7.0</v>
      </c>
      <c r="F295" s="385" t="s">
        <v>941</v>
      </c>
      <c r="G295" s="385" t="s">
        <v>89</v>
      </c>
      <c r="H295" s="122"/>
      <c r="I295" s="385">
        <v>31.2</v>
      </c>
      <c r="J295" s="386">
        <v>2.966991906E9</v>
      </c>
      <c r="K295" s="37"/>
    </row>
    <row r="296">
      <c r="A296" s="126">
        <v>292.0</v>
      </c>
      <c r="B296" s="126" t="s">
        <v>931</v>
      </c>
      <c r="C296" s="385" t="s">
        <v>151</v>
      </c>
      <c r="D296" s="385">
        <v>10.0</v>
      </c>
      <c r="E296" s="385">
        <v>33.0</v>
      </c>
      <c r="F296" s="385" t="s">
        <v>942</v>
      </c>
      <c r="G296" s="385" t="s">
        <v>53</v>
      </c>
      <c r="H296" s="122"/>
      <c r="I296" s="385">
        <v>54.5</v>
      </c>
      <c r="J296" s="386">
        <v>3.635815422E9</v>
      </c>
      <c r="K296" s="37"/>
    </row>
    <row r="297">
      <c r="A297" s="126">
        <v>293.0</v>
      </c>
      <c r="B297" s="126" t="s">
        <v>931</v>
      </c>
      <c r="C297" s="385" t="s">
        <v>151</v>
      </c>
      <c r="D297" s="385">
        <v>6.0</v>
      </c>
      <c r="E297" s="385">
        <v>26.0</v>
      </c>
      <c r="F297" s="385" t="s">
        <v>752</v>
      </c>
      <c r="G297" s="385" t="s">
        <v>53</v>
      </c>
      <c r="H297" s="122"/>
      <c r="I297" s="385">
        <v>58.2</v>
      </c>
      <c r="J297" s="386">
        <v>3.743322689E9</v>
      </c>
      <c r="K297" s="37"/>
    </row>
    <row r="298">
      <c r="A298" s="126">
        <v>294.0</v>
      </c>
      <c r="B298" s="126" t="s">
        <v>931</v>
      </c>
      <c r="C298" s="385" t="s">
        <v>151</v>
      </c>
      <c r="D298" s="385">
        <v>15.0</v>
      </c>
      <c r="E298" s="385">
        <v>30.0</v>
      </c>
      <c r="F298" s="385" t="s">
        <v>944</v>
      </c>
      <c r="G298" s="385" t="s">
        <v>53</v>
      </c>
      <c r="H298" s="122"/>
      <c r="I298" s="385">
        <v>54.0</v>
      </c>
      <c r="J298" s="386">
        <v>3.88533462E9</v>
      </c>
      <c r="K298" s="37"/>
    </row>
    <row r="299">
      <c r="A299" s="126">
        <v>295.0</v>
      </c>
      <c r="B299" s="126" t="s">
        <v>931</v>
      </c>
      <c r="C299" s="385" t="s">
        <v>151</v>
      </c>
      <c r="D299" s="385">
        <v>19.0</v>
      </c>
      <c r="E299" s="385">
        <v>8.0</v>
      </c>
      <c r="F299" s="385" t="s">
        <v>945</v>
      </c>
      <c r="G299" s="385" t="s">
        <v>946</v>
      </c>
      <c r="H299" s="122"/>
      <c r="I299" s="385">
        <v>31.1</v>
      </c>
      <c r="J299" s="386">
        <v>3.24370221E9</v>
      </c>
      <c r="K299" s="37"/>
    </row>
    <row r="300">
      <c r="A300" s="126">
        <v>296.0</v>
      </c>
      <c r="B300" s="126" t="s">
        <v>931</v>
      </c>
      <c r="C300" s="385" t="s">
        <v>151</v>
      </c>
      <c r="D300" s="385">
        <v>22.0</v>
      </c>
      <c r="E300" s="385">
        <v>1.0</v>
      </c>
      <c r="F300" s="385" t="s">
        <v>949</v>
      </c>
      <c r="G300" s="385" t="s">
        <v>53</v>
      </c>
      <c r="H300" s="122"/>
      <c r="I300" s="385">
        <v>58.0</v>
      </c>
      <c r="J300" s="386">
        <v>5.574417878E9</v>
      </c>
      <c r="K300" s="37"/>
    </row>
    <row r="301">
      <c r="A301" s="126">
        <v>297.0</v>
      </c>
      <c r="B301" s="126" t="s">
        <v>931</v>
      </c>
      <c r="C301" s="385" t="s">
        <v>151</v>
      </c>
      <c r="D301" s="385">
        <v>23.0</v>
      </c>
      <c r="E301" s="385">
        <v>17.0</v>
      </c>
      <c r="F301" s="385" t="s">
        <v>950</v>
      </c>
      <c r="G301" s="385" t="s">
        <v>53</v>
      </c>
      <c r="H301" s="122"/>
      <c r="I301" s="385">
        <v>58.1</v>
      </c>
      <c r="J301" s="386">
        <v>4.256069962E9</v>
      </c>
      <c r="K301" s="37"/>
    </row>
    <row r="302">
      <c r="A302" s="126">
        <v>298.0</v>
      </c>
      <c r="B302" s="126" t="s">
        <v>931</v>
      </c>
      <c r="C302" s="355" t="s">
        <v>33</v>
      </c>
      <c r="D302" s="355">
        <v>6.0</v>
      </c>
      <c r="E302" s="355">
        <v>43.0</v>
      </c>
      <c r="F302" s="355" t="s">
        <v>951</v>
      </c>
      <c r="G302" s="355" t="s">
        <v>53</v>
      </c>
      <c r="H302" s="122"/>
      <c r="I302" s="355" t="s">
        <v>952</v>
      </c>
      <c r="J302" s="359">
        <v>5.444038117E9</v>
      </c>
      <c r="K302" s="37"/>
    </row>
    <row r="303">
      <c r="A303" s="126">
        <v>299.0</v>
      </c>
      <c r="B303" s="126" t="s">
        <v>931</v>
      </c>
      <c r="C303" s="355" t="s">
        <v>33</v>
      </c>
      <c r="D303" s="355">
        <v>21.0</v>
      </c>
      <c r="E303" s="355">
        <v>9.0</v>
      </c>
      <c r="F303" s="355" t="s">
        <v>954</v>
      </c>
      <c r="G303" s="355" t="s">
        <v>53</v>
      </c>
      <c r="H303" s="122"/>
      <c r="I303" s="355" t="s">
        <v>157</v>
      </c>
      <c r="J303" s="359">
        <v>4.795380175E9</v>
      </c>
      <c r="K303" s="37"/>
    </row>
    <row r="304">
      <c r="A304" s="126">
        <v>300.0</v>
      </c>
      <c r="B304" s="126" t="s">
        <v>931</v>
      </c>
      <c r="C304" s="385" t="s">
        <v>51</v>
      </c>
      <c r="D304" s="385">
        <v>21.0</v>
      </c>
      <c r="E304" s="385" t="s">
        <v>228</v>
      </c>
      <c r="F304" s="385" t="s">
        <v>955</v>
      </c>
      <c r="G304" s="385" t="s">
        <v>24</v>
      </c>
      <c r="H304" s="122"/>
      <c r="I304" s="385">
        <v>72.0</v>
      </c>
      <c r="J304" s="386">
        <v>6.274399117E9</v>
      </c>
      <c r="K304" s="37"/>
    </row>
    <row r="305">
      <c r="A305" s="126">
        <v>301.0</v>
      </c>
      <c r="B305" s="126" t="s">
        <v>931</v>
      </c>
      <c r="C305" s="385" t="s">
        <v>51</v>
      </c>
      <c r="D305" s="385">
        <v>21.0</v>
      </c>
      <c r="E305" s="385">
        <v>23.0</v>
      </c>
      <c r="F305" s="385" t="s">
        <v>957</v>
      </c>
      <c r="G305" s="385" t="s">
        <v>53</v>
      </c>
      <c r="H305" s="122"/>
      <c r="I305" s="385">
        <v>54.4</v>
      </c>
      <c r="J305" s="386">
        <v>4.906485872E9</v>
      </c>
      <c r="K305" s="37"/>
    </row>
    <row r="306">
      <c r="A306" s="126">
        <v>302.0</v>
      </c>
      <c r="B306" s="126" t="s">
        <v>931</v>
      </c>
      <c r="C306" s="385" t="s">
        <v>51</v>
      </c>
      <c r="D306" s="385">
        <v>20.0</v>
      </c>
      <c r="E306" s="385" t="s">
        <v>228</v>
      </c>
      <c r="F306" s="385" t="s">
        <v>959</v>
      </c>
      <c r="G306" s="385" t="s">
        <v>24</v>
      </c>
      <c r="H306" s="122"/>
      <c r="I306" s="385">
        <v>72.0</v>
      </c>
      <c r="J306" s="386">
        <v>6.231328858E9</v>
      </c>
      <c r="K306" s="37"/>
    </row>
    <row r="307">
      <c r="A307" s="126">
        <v>303.0</v>
      </c>
      <c r="B307" s="126" t="s">
        <v>931</v>
      </c>
      <c r="C307" s="385" t="s">
        <v>51</v>
      </c>
      <c r="D307" s="385">
        <v>20.0</v>
      </c>
      <c r="E307" s="385">
        <v>23.0</v>
      </c>
      <c r="F307" s="385" t="s">
        <v>960</v>
      </c>
      <c r="G307" s="385" t="s">
        <v>53</v>
      </c>
      <c r="H307" s="122"/>
      <c r="I307" s="385">
        <v>54.4</v>
      </c>
      <c r="J307" s="386">
        <v>4.872800251E9</v>
      </c>
      <c r="K307" s="37"/>
    </row>
    <row r="308">
      <c r="A308" s="126">
        <v>304.0</v>
      </c>
      <c r="B308" s="126" t="s">
        <v>931</v>
      </c>
      <c r="C308" s="385" t="s">
        <v>51</v>
      </c>
      <c r="D308" s="385">
        <v>8.0</v>
      </c>
      <c r="E308" s="385">
        <v>24.0</v>
      </c>
      <c r="F308" s="385" t="s">
        <v>963</v>
      </c>
      <c r="G308" s="385" t="s">
        <v>24</v>
      </c>
      <c r="H308" s="122"/>
      <c r="I308" s="385">
        <v>72.7</v>
      </c>
      <c r="J308" s="386">
        <v>5.910291186E9</v>
      </c>
      <c r="K308" s="37"/>
    </row>
    <row r="309">
      <c r="A309" s="126">
        <v>305.0</v>
      </c>
      <c r="B309" s="126" t="s">
        <v>931</v>
      </c>
      <c r="C309" s="385" t="s">
        <v>51</v>
      </c>
      <c r="D309" s="385">
        <v>5.0</v>
      </c>
      <c r="E309" s="385">
        <v>29.0</v>
      </c>
      <c r="F309" s="385" t="s">
        <v>964</v>
      </c>
      <c r="G309" s="385" t="s">
        <v>53</v>
      </c>
      <c r="H309" s="122"/>
      <c r="I309" s="385">
        <v>55.0</v>
      </c>
      <c r="J309" s="386">
        <v>4.145506399E9</v>
      </c>
      <c r="K309" s="37"/>
    </row>
    <row r="310">
      <c r="A310" s="126">
        <v>306.0</v>
      </c>
      <c r="B310" s="126" t="s">
        <v>931</v>
      </c>
      <c r="C310" s="385" t="s">
        <v>51</v>
      </c>
      <c r="D310" s="385">
        <v>5.0</v>
      </c>
      <c r="E310" s="385">
        <v>2.0</v>
      </c>
      <c r="F310" s="385" t="s">
        <v>965</v>
      </c>
      <c r="G310" s="385" t="s">
        <v>53</v>
      </c>
      <c r="H310" s="122"/>
      <c r="I310" s="385">
        <v>53.9</v>
      </c>
      <c r="J310" s="386">
        <v>4.534590166E9</v>
      </c>
      <c r="K310" s="37"/>
    </row>
    <row r="311">
      <c r="A311" s="126">
        <v>307.0</v>
      </c>
      <c r="B311" s="126" t="s">
        <v>931</v>
      </c>
      <c r="C311" s="385" t="s">
        <v>51</v>
      </c>
      <c r="D311" s="385">
        <v>17.0</v>
      </c>
      <c r="E311" s="385">
        <v>5.0</v>
      </c>
      <c r="F311" s="385" t="s">
        <v>968</v>
      </c>
      <c r="G311" s="385" t="s">
        <v>53</v>
      </c>
      <c r="H311" s="122"/>
      <c r="I311" s="385">
        <v>53.8</v>
      </c>
      <c r="J311" s="386">
        <v>4.846719296E9</v>
      </c>
      <c r="K311" s="37"/>
    </row>
    <row r="312">
      <c r="A312" s="126">
        <v>308.0</v>
      </c>
      <c r="B312" s="126" t="s">
        <v>931</v>
      </c>
      <c r="C312" s="385" t="s">
        <v>51</v>
      </c>
      <c r="D312" s="385">
        <v>9.0</v>
      </c>
      <c r="E312" s="385">
        <v>5.0</v>
      </c>
      <c r="F312" s="385" t="s">
        <v>969</v>
      </c>
      <c r="G312" s="385" t="s">
        <v>53</v>
      </c>
      <c r="H312" s="122"/>
      <c r="I312" s="385" t="s">
        <v>61</v>
      </c>
      <c r="J312" s="386">
        <v>4.572966567E9</v>
      </c>
      <c r="K312" s="37"/>
    </row>
    <row r="313">
      <c r="A313" s="126">
        <v>309.0</v>
      </c>
      <c r="B313" s="126" t="s">
        <v>931</v>
      </c>
      <c r="C313" s="385" t="s">
        <v>51</v>
      </c>
      <c r="D313" s="385" t="s">
        <v>35</v>
      </c>
      <c r="E313" s="385">
        <v>30.0</v>
      </c>
      <c r="F313" s="385" t="s">
        <v>971</v>
      </c>
      <c r="G313" s="385" t="s">
        <v>24</v>
      </c>
      <c r="H313" s="122"/>
      <c r="I313" s="385" t="s">
        <v>69</v>
      </c>
      <c r="J313" s="386">
        <v>7.258043428E9</v>
      </c>
      <c r="K313" s="37"/>
    </row>
    <row r="314">
      <c r="A314" s="126">
        <v>310.0</v>
      </c>
      <c r="B314" s="126" t="s">
        <v>931</v>
      </c>
      <c r="C314" s="385" t="s">
        <v>51</v>
      </c>
      <c r="D314" s="385">
        <v>16.0</v>
      </c>
      <c r="E314" s="385">
        <v>17.0</v>
      </c>
      <c r="F314" s="385" t="s">
        <v>839</v>
      </c>
      <c r="G314" s="385" t="s">
        <v>24</v>
      </c>
      <c r="H314" s="122"/>
      <c r="I314" s="385" t="s">
        <v>328</v>
      </c>
      <c r="J314" s="386">
        <v>6.096003934E9</v>
      </c>
      <c r="K314" s="37"/>
    </row>
    <row r="315">
      <c r="A315" s="126">
        <v>311.0</v>
      </c>
      <c r="B315" s="126" t="s">
        <v>973</v>
      </c>
      <c r="C315" s="315" t="s">
        <v>609</v>
      </c>
      <c r="D315" s="122"/>
      <c r="E315" s="122"/>
      <c r="F315" s="315" t="s">
        <v>975</v>
      </c>
      <c r="G315" s="315" t="s">
        <v>53</v>
      </c>
      <c r="H315" s="315">
        <v>58.5</v>
      </c>
      <c r="I315" s="315">
        <v>52.8</v>
      </c>
      <c r="J315" s="315" t="s">
        <v>977</v>
      </c>
      <c r="K315" s="37"/>
    </row>
    <row r="316">
      <c r="A316" s="126">
        <v>312.0</v>
      </c>
      <c r="B316" s="126" t="s">
        <v>973</v>
      </c>
      <c r="C316" s="315" t="s">
        <v>609</v>
      </c>
      <c r="D316" s="122"/>
      <c r="E316" s="122"/>
      <c r="F316" s="315" t="s">
        <v>979</v>
      </c>
      <c r="G316" s="315" t="s">
        <v>53</v>
      </c>
      <c r="H316" s="315">
        <v>58.5</v>
      </c>
      <c r="I316" s="315">
        <v>52.8</v>
      </c>
      <c r="J316" s="315" t="s">
        <v>980</v>
      </c>
      <c r="K316" s="37"/>
    </row>
    <row r="317">
      <c r="A317" s="126">
        <v>313.0</v>
      </c>
      <c r="B317" s="126" t="s">
        <v>973</v>
      </c>
      <c r="C317" s="315" t="s">
        <v>609</v>
      </c>
      <c r="D317" s="122"/>
      <c r="E317" s="122"/>
      <c r="F317" s="315" t="s">
        <v>981</v>
      </c>
      <c r="G317" s="315" t="s">
        <v>53</v>
      </c>
      <c r="H317" s="315">
        <v>58.5</v>
      </c>
      <c r="I317" s="315">
        <v>54.1</v>
      </c>
      <c r="J317" s="315" t="s">
        <v>982</v>
      </c>
      <c r="K317" s="37"/>
    </row>
    <row r="318">
      <c r="A318" s="126">
        <v>314.0</v>
      </c>
      <c r="B318" s="126" t="s">
        <v>973</v>
      </c>
      <c r="C318" s="315" t="s">
        <v>609</v>
      </c>
      <c r="D318" s="122"/>
      <c r="E318" s="122"/>
      <c r="F318" s="315" t="s">
        <v>983</v>
      </c>
      <c r="G318" s="315" t="s">
        <v>24</v>
      </c>
      <c r="H318" s="315">
        <v>77.0</v>
      </c>
      <c r="I318" s="315">
        <v>71.1</v>
      </c>
      <c r="J318" s="315" t="s">
        <v>263</v>
      </c>
      <c r="K318" s="37"/>
    </row>
    <row r="319">
      <c r="A319" s="126">
        <v>315.0</v>
      </c>
      <c r="B319" s="126" t="s">
        <v>973</v>
      </c>
      <c r="C319" s="315" t="s">
        <v>984</v>
      </c>
      <c r="D319" s="122"/>
      <c r="E319" s="122"/>
      <c r="F319" s="315" t="s">
        <v>985</v>
      </c>
      <c r="G319" s="315" t="s">
        <v>53</v>
      </c>
      <c r="H319" s="315">
        <v>59.1</v>
      </c>
      <c r="I319" s="315">
        <v>54.0</v>
      </c>
      <c r="J319" s="315" t="s">
        <v>986</v>
      </c>
      <c r="K319" s="37"/>
    </row>
    <row r="320">
      <c r="A320" s="126">
        <v>316.0</v>
      </c>
      <c r="B320" s="126" t="s">
        <v>973</v>
      </c>
      <c r="C320" s="315" t="s">
        <v>984</v>
      </c>
      <c r="D320" s="122"/>
      <c r="E320" s="122"/>
      <c r="F320" s="315" t="s">
        <v>987</v>
      </c>
      <c r="G320" s="315" t="s">
        <v>53</v>
      </c>
      <c r="H320" s="315">
        <v>54.2</v>
      </c>
      <c r="I320" s="315">
        <v>50.0</v>
      </c>
      <c r="J320" s="315" t="s">
        <v>988</v>
      </c>
      <c r="K320" s="37"/>
    </row>
    <row r="321">
      <c r="A321" s="126">
        <v>317.0</v>
      </c>
      <c r="B321" s="126" t="s">
        <v>973</v>
      </c>
      <c r="C321" s="315" t="s">
        <v>984</v>
      </c>
      <c r="D321" s="122"/>
      <c r="E321" s="122"/>
      <c r="F321" s="315" t="s">
        <v>23</v>
      </c>
      <c r="G321" s="315" t="s">
        <v>24</v>
      </c>
      <c r="H321" s="315">
        <v>72.5</v>
      </c>
      <c r="I321" s="315">
        <v>66.4</v>
      </c>
      <c r="J321" s="315" t="s">
        <v>989</v>
      </c>
      <c r="K321" s="37"/>
    </row>
    <row r="322">
      <c r="A322" s="126">
        <v>318.0</v>
      </c>
      <c r="B322" s="126" t="s">
        <v>973</v>
      </c>
      <c r="C322" s="315" t="s">
        <v>984</v>
      </c>
      <c r="D322" s="122"/>
      <c r="E322" s="122"/>
      <c r="F322" s="315" t="s">
        <v>990</v>
      </c>
      <c r="G322" s="315" t="s">
        <v>89</v>
      </c>
      <c r="H322" s="315">
        <v>38.3</v>
      </c>
      <c r="I322" s="315">
        <v>34.5</v>
      </c>
      <c r="J322" s="315" t="s">
        <v>991</v>
      </c>
      <c r="K322" s="37"/>
    </row>
    <row r="323">
      <c r="A323" s="126">
        <v>319.0</v>
      </c>
      <c r="B323" s="126" t="s">
        <v>973</v>
      </c>
      <c r="C323" s="315" t="s">
        <v>274</v>
      </c>
      <c r="D323" s="122"/>
      <c r="E323" s="122"/>
      <c r="F323" s="315" t="s">
        <v>992</v>
      </c>
      <c r="G323" s="315" t="s">
        <v>53</v>
      </c>
      <c r="H323" s="315">
        <v>58.5</v>
      </c>
      <c r="I323" s="315">
        <v>54.3</v>
      </c>
      <c r="J323" s="315" t="s">
        <v>993</v>
      </c>
      <c r="K323" s="37"/>
    </row>
    <row r="324">
      <c r="A324" s="126">
        <v>320.0</v>
      </c>
      <c r="B324" s="126" t="s">
        <v>973</v>
      </c>
      <c r="C324" s="315" t="s">
        <v>274</v>
      </c>
      <c r="D324" s="122"/>
      <c r="E324" s="122"/>
      <c r="F324" s="315" t="s">
        <v>994</v>
      </c>
      <c r="G324" s="315" t="s">
        <v>53</v>
      </c>
      <c r="H324" s="315">
        <v>58.5</v>
      </c>
      <c r="I324" s="315">
        <v>54.1</v>
      </c>
      <c r="J324" s="315" t="s">
        <v>995</v>
      </c>
      <c r="K324" s="37"/>
    </row>
    <row r="325">
      <c r="A325" s="126">
        <v>321.0</v>
      </c>
      <c r="B325" s="126" t="s">
        <v>973</v>
      </c>
      <c r="C325" s="315" t="s">
        <v>274</v>
      </c>
      <c r="D325" s="122"/>
      <c r="E325" s="122"/>
      <c r="F325" s="315" t="s">
        <v>996</v>
      </c>
      <c r="G325" s="315" t="s">
        <v>53</v>
      </c>
      <c r="H325" s="315">
        <v>59.4</v>
      </c>
      <c r="I325" s="315">
        <v>54.5</v>
      </c>
      <c r="J325" s="315" t="s">
        <v>997</v>
      </c>
      <c r="K325" s="37"/>
    </row>
    <row r="326">
      <c r="A326" s="126">
        <v>322.0</v>
      </c>
      <c r="B326" s="126" t="s">
        <v>973</v>
      </c>
      <c r="C326" s="315" t="s">
        <v>274</v>
      </c>
      <c r="D326" s="122"/>
      <c r="E326" s="122"/>
      <c r="F326" s="315" t="s">
        <v>998</v>
      </c>
      <c r="G326" s="315" t="s">
        <v>24</v>
      </c>
      <c r="H326" s="315">
        <v>81.2</v>
      </c>
      <c r="I326" s="315">
        <v>75.3</v>
      </c>
      <c r="J326" s="315" t="s">
        <v>484</v>
      </c>
      <c r="K326" s="37"/>
    </row>
    <row r="327">
      <c r="A327" s="126">
        <v>323.0</v>
      </c>
      <c r="B327" s="126" t="s">
        <v>973</v>
      </c>
      <c r="C327" s="315" t="s">
        <v>274</v>
      </c>
      <c r="D327" s="122"/>
      <c r="E327" s="122"/>
      <c r="F327" s="315" t="s">
        <v>999</v>
      </c>
      <c r="G327" s="315" t="s">
        <v>53</v>
      </c>
      <c r="H327" s="315">
        <v>62.6</v>
      </c>
      <c r="I327" s="315">
        <v>58.1</v>
      </c>
      <c r="J327" s="315" t="s">
        <v>1000</v>
      </c>
      <c r="K327" s="37"/>
    </row>
    <row r="328">
      <c r="A328" s="126">
        <v>324.0</v>
      </c>
      <c r="B328" s="126" t="s">
        <v>973</v>
      </c>
      <c r="C328" s="315" t="s">
        <v>274</v>
      </c>
      <c r="D328" s="122"/>
      <c r="E328" s="122"/>
      <c r="F328" s="315" t="s">
        <v>1001</v>
      </c>
      <c r="G328" s="315" t="s">
        <v>53</v>
      </c>
      <c r="H328" s="315">
        <v>58.5</v>
      </c>
      <c r="I328" s="315">
        <v>54.0</v>
      </c>
      <c r="J328" s="315" t="s">
        <v>1002</v>
      </c>
      <c r="K328" s="37"/>
    </row>
    <row r="329">
      <c r="A329" s="126">
        <v>325.0</v>
      </c>
      <c r="B329" s="126" t="s">
        <v>973</v>
      </c>
      <c r="C329" s="315" t="s">
        <v>274</v>
      </c>
      <c r="D329" s="122"/>
      <c r="E329" s="122"/>
      <c r="F329" s="315" t="s">
        <v>1003</v>
      </c>
      <c r="G329" s="315" t="s">
        <v>89</v>
      </c>
      <c r="H329" s="315">
        <v>34.7</v>
      </c>
      <c r="I329" s="315">
        <v>31.2</v>
      </c>
      <c r="J329" s="315" t="s">
        <v>1004</v>
      </c>
      <c r="K329" s="37"/>
    </row>
    <row r="330">
      <c r="A330" s="126">
        <v>326.0</v>
      </c>
      <c r="B330" s="126" t="s">
        <v>973</v>
      </c>
      <c r="C330" s="315" t="s">
        <v>274</v>
      </c>
      <c r="D330" s="122"/>
      <c r="E330" s="122"/>
      <c r="F330" s="315" t="s">
        <v>1005</v>
      </c>
      <c r="G330" s="315" t="s">
        <v>53</v>
      </c>
      <c r="H330" s="315">
        <v>56.7</v>
      </c>
      <c r="I330" s="315">
        <v>50.9</v>
      </c>
      <c r="J330" s="315" t="s">
        <v>1006</v>
      </c>
      <c r="K330" s="37"/>
    </row>
    <row r="331">
      <c r="A331" s="126">
        <v>327.0</v>
      </c>
      <c r="B331" s="126" t="s">
        <v>973</v>
      </c>
      <c r="C331" s="315" t="s">
        <v>274</v>
      </c>
      <c r="D331" s="122"/>
      <c r="E331" s="122"/>
      <c r="F331" s="315" t="s">
        <v>1007</v>
      </c>
      <c r="G331" s="315" t="s">
        <v>53</v>
      </c>
      <c r="H331" s="315">
        <v>58.5</v>
      </c>
      <c r="I331" s="315">
        <v>53.9</v>
      </c>
      <c r="J331" s="315" t="s">
        <v>1008</v>
      </c>
      <c r="K331" s="37"/>
    </row>
    <row r="332">
      <c r="A332" s="126">
        <v>328.0</v>
      </c>
      <c r="B332" s="126" t="s">
        <v>973</v>
      </c>
      <c r="C332" s="315" t="s">
        <v>541</v>
      </c>
      <c r="D332" s="122"/>
      <c r="E332" s="122"/>
      <c r="F332" s="315" t="s">
        <v>1009</v>
      </c>
      <c r="G332" s="315" t="s">
        <v>53</v>
      </c>
      <c r="H332" s="315">
        <v>60.8</v>
      </c>
      <c r="I332" s="315">
        <v>54.4</v>
      </c>
      <c r="J332" s="315" t="s">
        <v>1010</v>
      </c>
      <c r="K332" s="37"/>
    </row>
    <row r="333">
      <c r="A333" s="126">
        <v>329.0</v>
      </c>
      <c r="B333" s="126" t="s">
        <v>973</v>
      </c>
      <c r="C333" s="315" t="s">
        <v>541</v>
      </c>
      <c r="D333" s="122"/>
      <c r="E333" s="122"/>
      <c r="F333" s="315" t="s">
        <v>1011</v>
      </c>
      <c r="G333" s="315" t="s">
        <v>24</v>
      </c>
      <c r="H333" s="315">
        <v>82.2</v>
      </c>
      <c r="I333" s="315">
        <v>72.7</v>
      </c>
      <c r="J333" s="315" t="s">
        <v>657</v>
      </c>
      <c r="K333" s="37"/>
    </row>
    <row r="334">
      <c r="A334" s="126">
        <v>330.0</v>
      </c>
      <c r="B334" s="126" t="s">
        <v>973</v>
      </c>
      <c r="C334" s="315" t="s">
        <v>541</v>
      </c>
      <c r="D334" s="122"/>
      <c r="E334" s="122"/>
      <c r="F334" s="315" t="s">
        <v>1012</v>
      </c>
      <c r="G334" s="315" t="s">
        <v>53</v>
      </c>
      <c r="H334" s="315">
        <v>59.2</v>
      </c>
      <c r="I334" s="315">
        <v>53.9</v>
      </c>
      <c r="J334" s="315" t="s">
        <v>1013</v>
      </c>
      <c r="K334" s="37"/>
    </row>
    <row r="335">
      <c r="A335" s="126">
        <v>331.0</v>
      </c>
      <c r="B335" s="126" t="s">
        <v>973</v>
      </c>
      <c r="C335" s="184" t="s">
        <v>541</v>
      </c>
      <c r="D335" s="184">
        <v>18.0</v>
      </c>
      <c r="E335" s="184">
        <v>3.0</v>
      </c>
      <c r="F335" s="184" t="s">
        <v>1014</v>
      </c>
      <c r="G335" s="184" t="s">
        <v>53</v>
      </c>
      <c r="H335" s="184">
        <v>59.2</v>
      </c>
      <c r="I335" s="184">
        <v>53.9</v>
      </c>
      <c r="J335" s="184" t="s">
        <v>1015</v>
      </c>
      <c r="K335" s="37"/>
    </row>
    <row r="336">
      <c r="A336" s="126">
        <v>332.0</v>
      </c>
      <c r="B336" s="126" t="s">
        <v>973</v>
      </c>
      <c r="C336" s="184" t="s">
        <v>541</v>
      </c>
      <c r="D336" s="184">
        <v>19.0</v>
      </c>
      <c r="E336" s="184">
        <v>2.0</v>
      </c>
      <c r="F336" s="184" t="s">
        <v>1016</v>
      </c>
      <c r="G336" s="184" t="s">
        <v>53</v>
      </c>
      <c r="H336" s="184">
        <v>59.2</v>
      </c>
      <c r="I336" s="184">
        <v>53.9</v>
      </c>
      <c r="J336" s="184" t="s">
        <v>662</v>
      </c>
      <c r="K336" s="37"/>
    </row>
    <row r="337">
      <c r="A337" s="126">
        <v>333.0</v>
      </c>
      <c r="B337" s="126" t="s">
        <v>973</v>
      </c>
      <c r="C337" s="184" t="s">
        <v>541</v>
      </c>
      <c r="D337" s="184">
        <v>18.0</v>
      </c>
      <c r="E337" s="184">
        <v>2.0</v>
      </c>
      <c r="F337" s="184" t="s">
        <v>1017</v>
      </c>
      <c r="G337" s="184" t="s">
        <v>53</v>
      </c>
      <c r="H337" s="184">
        <v>59.2</v>
      </c>
      <c r="I337" s="184">
        <v>53.9</v>
      </c>
      <c r="J337" s="184" t="s">
        <v>1015</v>
      </c>
      <c r="K337" s="37"/>
    </row>
    <row r="338">
      <c r="A338" s="126">
        <v>334.0</v>
      </c>
      <c r="B338" s="126" t="s">
        <v>973</v>
      </c>
      <c r="C338" s="184" t="s">
        <v>541</v>
      </c>
      <c r="D338" s="184">
        <v>22.0</v>
      </c>
      <c r="E338" s="184">
        <v>23.0</v>
      </c>
      <c r="F338" s="184" t="s">
        <v>1019</v>
      </c>
      <c r="G338" s="184" t="s">
        <v>53</v>
      </c>
      <c r="H338" s="184">
        <v>60.8</v>
      </c>
      <c r="I338" s="184">
        <v>54.4</v>
      </c>
      <c r="J338" s="184" t="s">
        <v>1020</v>
      </c>
      <c r="K338" s="37"/>
    </row>
    <row r="339">
      <c r="A339" s="126">
        <v>335.0</v>
      </c>
      <c r="B339" s="126" t="s">
        <v>973</v>
      </c>
      <c r="C339" s="184" t="s">
        <v>541</v>
      </c>
      <c r="D339" s="184" t="s">
        <v>269</v>
      </c>
      <c r="E339" s="184">
        <v>5.0</v>
      </c>
      <c r="F339" s="184" t="s">
        <v>1021</v>
      </c>
      <c r="G339" s="184" t="s">
        <v>53</v>
      </c>
      <c r="H339" s="184">
        <v>59.0</v>
      </c>
      <c r="I339" s="184">
        <v>53.8</v>
      </c>
      <c r="J339" s="184" t="s">
        <v>1022</v>
      </c>
      <c r="K339" s="37"/>
    </row>
    <row r="340">
      <c r="A340" s="126">
        <v>336.0</v>
      </c>
      <c r="B340" s="126" t="s">
        <v>973</v>
      </c>
      <c r="C340" s="184" t="s">
        <v>541</v>
      </c>
      <c r="D340" s="184">
        <v>18.0</v>
      </c>
      <c r="E340" s="184">
        <v>28.0</v>
      </c>
      <c r="F340" s="184" t="s">
        <v>1023</v>
      </c>
      <c r="G340" s="184" t="s">
        <v>24</v>
      </c>
      <c r="H340" s="184">
        <v>88.6</v>
      </c>
      <c r="I340" s="184">
        <v>80.7</v>
      </c>
      <c r="J340" s="184" t="s">
        <v>1024</v>
      </c>
      <c r="K340" s="37"/>
    </row>
    <row r="341">
      <c r="A341" s="126">
        <v>337.0</v>
      </c>
      <c r="B341" s="126" t="s">
        <v>973</v>
      </c>
      <c r="C341" s="184" t="s">
        <v>541</v>
      </c>
      <c r="D341" s="184">
        <v>22.0</v>
      </c>
      <c r="E341" s="184" t="s">
        <v>228</v>
      </c>
      <c r="F341" s="184" t="s">
        <v>1025</v>
      </c>
      <c r="G341" s="184" t="s">
        <v>24</v>
      </c>
      <c r="H341" s="184">
        <v>80.0</v>
      </c>
      <c r="I341" s="184">
        <v>72.0</v>
      </c>
      <c r="J341" s="184" t="s">
        <v>1026</v>
      </c>
      <c r="K341" s="37"/>
    </row>
    <row r="342">
      <c r="A342" s="126">
        <v>338.0</v>
      </c>
      <c r="B342" s="126" t="s">
        <v>973</v>
      </c>
      <c r="C342" s="184" t="s">
        <v>541</v>
      </c>
      <c r="D342" s="184" t="s">
        <v>269</v>
      </c>
      <c r="E342" s="184">
        <v>30.0</v>
      </c>
      <c r="F342" s="184" t="s">
        <v>1027</v>
      </c>
      <c r="G342" s="184" t="s">
        <v>24</v>
      </c>
      <c r="H342" s="184">
        <v>85.3</v>
      </c>
      <c r="I342" s="184">
        <v>76.0</v>
      </c>
      <c r="J342" s="184" t="s">
        <v>1028</v>
      </c>
      <c r="K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</row>
  </sheetData>
  <mergeCells count="1">
    <mergeCell ref="C1:I1"/>
  </mergeCells>
  <hyperlinks>
    <hyperlink r:id="rId1" ref="R4"/>
    <hyperlink r:id="rId2" ref="R5"/>
    <hyperlink r:id="rId3" location="gid=192979425" ref="R6"/>
    <hyperlink r:id="rId4" ref="R56"/>
    <hyperlink r:id="rId5" ref="R57"/>
    <hyperlink r:id="rId6" ref="R58"/>
    <hyperlink r:id="rId7" ref="R59"/>
    <hyperlink r:id="rId8" ref="R60"/>
    <hyperlink r:id="rId9" ref="R61"/>
    <hyperlink r:id="rId10" ref="R62"/>
    <hyperlink r:id="rId11" ref="R63"/>
    <hyperlink r:id="rId12" ref="R64"/>
    <hyperlink r:id="rId13" ref="R65"/>
    <hyperlink r:id="rId14" ref="R66"/>
    <hyperlink r:id="rId15" ref="R67"/>
    <hyperlink r:id="rId16" ref="R68"/>
    <hyperlink r:id="rId17" ref="R69"/>
    <hyperlink r:id="rId18" ref="R70"/>
    <hyperlink r:id="rId19" ref="R71"/>
    <hyperlink r:id="rId20" ref="F72"/>
    <hyperlink r:id="rId21" ref="F73"/>
    <hyperlink r:id="rId22" ref="F74"/>
    <hyperlink r:id="rId23" ref="F75"/>
    <hyperlink r:id="rId24" ref="F76"/>
    <hyperlink r:id="rId25" ref="F77"/>
    <hyperlink r:id="rId26" ref="F78"/>
    <hyperlink r:id="rId27" ref="R79"/>
    <hyperlink r:id="rId28" ref="R80"/>
    <hyperlink r:id="rId29" ref="F81"/>
    <hyperlink r:id="rId30" ref="F82"/>
    <hyperlink r:id="rId31" ref="F83"/>
    <hyperlink r:id="rId32" ref="R84"/>
    <hyperlink r:id="rId33" ref="R85"/>
    <hyperlink r:id="rId34" ref="F86"/>
    <hyperlink r:id="rId35" ref="F87"/>
    <hyperlink r:id="rId36" ref="F88"/>
    <hyperlink r:id="rId37" ref="F89"/>
    <hyperlink r:id="rId38" ref="F90"/>
    <hyperlink r:id="rId39" ref="F91"/>
    <hyperlink r:id="rId40" ref="R92"/>
    <hyperlink r:id="rId41" ref="F93"/>
    <hyperlink r:id="rId42" ref="R94"/>
    <hyperlink r:id="rId43" ref="R95"/>
    <hyperlink r:id="rId44" ref="F96"/>
    <hyperlink r:id="rId45" ref="F97"/>
    <hyperlink r:id="rId46" ref="R98"/>
    <hyperlink r:id="rId47" ref="F99"/>
    <hyperlink r:id="rId48" ref="F100"/>
    <hyperlink r:id="rId49" ref="F101"/>
    <hyperlink r:id="rId50" ref="F102"/>
    <hyperlink r:id="rId51" ref="F103"/>
    <hyperlink r:id="rId52" ref="R104"/>
    <hyperlink r:id="rId53" ref="R105"/>
    <hyperlink r:id="rId54" ref="R106"/>
    <hyperlink r:id="rId55" ref="R107"/>
  </hyperlinks>
  <drawing r:id="rId56"/>
</worksheet>
</file>